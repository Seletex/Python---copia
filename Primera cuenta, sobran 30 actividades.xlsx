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poyosistemas\Documents\Python\"/>
    </mc:Choice>
  </mc:AlternateContent>
  <bookViews>
    <workbookView xWindow="0" yWindow="0" windowWidth="20490" windowHeight="7635"/>
  </bookViews>
  <sheets>
    <sheet name="Sheet1" sheetId="1" r:id="rId1"/>
  </sheets>
  <definedNames>
    <definedName name="_xlnm._FilterDatabase" localSheetId="0" hidden="1">Sheet1!$A$1:$O$78</definedName>
  </definedNames>
  <calcPr calcId="162913"/>
  <fileRecoveryPr repairLoad="1"/>
</workbook>
</file>

<file path=xl/calcChain.xml><?xml version="1.0" encoding="utf-8"?>
<calcChain xmlns="http://schemas.openxmlformats.org/spreadsheetml/2006/main">
  <c r="I52" i="1" l="1"/>
  <c r="H16" i="1"/>
  <c r="H2" i="1"/>
  <c r="H3" i="1"/>
  <c r="H4" i="1"/>
  <c r="H5" i="1"/>
  <c r="H6" i="1"/>
  <c r="H7" i="1"/>
  <c r="H8" i="1"/>
  <c r="H9" i="1"/>
  <c r="H10" i="1"/>
  <c r="H11" i="1"/>
  <c r="H12" i="1"/>
  <c r="H13" i="1"/>
  <c r="H14"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1" i="1"/>
  <c r="H70" i="1"/>
  <c r="H72" i="1"/>
  <c r="H73" i="1"/>
  <c r="H74" i="1"/>
  <c r="H75" i="1"/>
  <c r="H76" i="1"/>
  <c r="H77" i="1"/>
  <c r="H78" i="1"/>
  <c r="H15" i="1"/>
  <c r="H1" i="1"/>
  <c r="I16" i="1"/>
  <c r="I2" i="1"/>
  <c r="I3" i="1"/>
  <c r="I4" i="1"/>
  <c r="I5" i="1"/>
  <c r="I6" i="1"/>
  <c r="I7" i="1"/>
  <c r="I8" i="1"/>
  <c r="I9" i="1"/>
  <c r="I10" i="1"/>
  <c r="I11" i="1"/>
  <c r="I12" i="1"/>
  <c r="I13" i="1"/>
  <c r="I14"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3" i="1"/>
  <c r="I54" i="1"/>
  <c r="I55" i="1"/>
  <c r="I56" i="1"/>
  <c r="I57" i="1"/>
  <c r="I58" i="1"/>
  <c r="I59" i="1"/>
  <c r="I60" i="1"/>
  <c r="I61" i="1"/>
  <c r="I62" i="1"/>
  <c r="I63" i="1"/>
  <c r="I64" i="1"/>
  <c r="I65" i="1"/>
  <c r="I66" i="1"/>
  <c r="I67" i="1"/>
  <c r="I68" i="1"/>
  <c r="I69" i="1"/>
  <c r="I71" i="1"/>
  <c r="I70" i="1"/>
  <c r="I72" i="1"/>
  <c r="I73" i="1"/>
  <c r="I74" i="1"/>
  <c r="I75" i="1"/>
  <c r="I76" i="1"/>
  <c r="I77" i="1"/>
  <c r="I78" i="1"/>
  <c r="I15" i="1"/>
  <c r="I1" i="1"/>
  <c r="K1" i="1"/>
  <c r="K16" i="1"/>
  <c r="K2" i="1"/>
  <c r="K3" i="1"/>
  <c r="K4" i="1"/>
  <c r="K5" i="1"/>
  <c r="K6" i="1"/>
  <c r="K7" i="1"/>
  <c r="K8" i="1"/>
  <c r="K9" i="1"/>
  <c r="K10" i="1"/>
  <c r="K11" i="1"/>
  <c r="K12" i="1"/>
  <c r="K13" i="1"/>
  <c r="K14"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1" i="1"/>
  <c r="K70" i="1"/>
  <c r="K72" i="1"/>
  <c r="K73" i="1"/>
  <c r="K74" i="1"/>
  <c r="K75" i="1"/>
  <c r="K76" i="1"/>
  <c r="K77" i="1"/>
  <c r="K78" i="1"/>
  <c r="K15" i="1"/>
  <c r="L1" i="1"/>
  <c r="L16" i="1"/>
  <c r="L2" i="1"/>
  <c r="L3" i="1"/>
  <c r="L4" i="1"/>
  <c r="L5" i="1"/>
  <c r="L6" i="1"/>
  <c r="L7" i="1"/>
  <c r="L8" i="1"/>
  <c r="L9" i="1"/>
  <c r="L10" i="1"/>
  <c r="L11" i="1"/>
  <c r="L12" i="1"/>
  <c r="L13" i="1"/>
  <c r="L14"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1" i="1"/>
  <c r="L70" i="1"/>
  <c r="L72" i="1"/>
  <c r="L73" i="1"/>
  <c r="L74" i="1"/>
  <c r="L75" i="1"/>
  <c r="L76" i="1"/>
  <c r="L77" i="1"/>
  <c r="L78" i="1"/>
  <c r="L15" i="1"/>
  <c r="J1" i="1"/>
  <c r="J16" i="1"/>
  <c r="J2" i="1"/>
  <c r="J3" i="1"/>
  <c r="J4" i="1"/>
  <c r="J5" i="1"/>
  <c r="J6" i="1"/>
  <c r="J7" i="1"/>
  <c r="J8" i="1"/>
  <c r="J9" i="1"/>
  <c r="J10" i="1"/>
  <c r="J11" i="1"/>
  <c r="J12" i="1"/>
  <c r="J13" i="1"/>
  <c r="J14"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1" i="1"/>
  <c r="J70" i="1"/>
  <c r="J72" i="1"/>
  <c r="J73" i="1"/>
  <c r="J74" i="1"/>
  <c r="J75" i="1"/>
  <c r="J76" i="1"/>
  <c r="J77" i="1"/>
  <c r="J78" i="1"/>
  <c r="J15" i="1"/>
</calcChain>
</file>

<file path=xl/sharedStrings.xml><?xml version="1.0" encoding="utf-8"?>
<sst xmlns="http://schemas.openxmlformats.org/spreadsheetml/2006/main" count="703" uniqueCount="265">
  <si>
    <t>ID</t>
  </si>
  <si>
    <t>Fecha Registro</t>
  </si>
  <si>
    <t>Lugar/Dependencia</t>
  </si>
  <si>
    <t>Solicitante</t>
  </si>
  <si>
    <t>Tipo de Solicitud</t>
  </si>
  <si>
    <t>Medio de Solicitud</t>
  </si>
  <si>
    <t>Tipo de Actividad</t>
  </si>
  <si>
    <t>¿Cumplida?</t>
  </si>
  <si>
    <t>Fecha de Atención / Cumplimiento</t>
  </si>
  <si>
    <t>Observaciones</t>
  </si>
  <si>
    <t>VIVIENDA</t>
  </si>
  <si>
    <t>Maribel</t>
  </si>
  <si>
    <t>ASESORIA Y ASISTENCIA</t>
  </si>
  <si>
    <t>SOLICITUD VERBAL</t>
  </si>
  <si>
    <t>Brindar apoyo en la atención de requerimientos técnicos de primer nivel a los usuarios de la Administración Municipal, atendiendo incidentes relacionados con el funcionamiento de equipos de cómputo, impresoras, configuración de software y otros periféricos.</t>
  </si>
  <si>
    <t>Sí</t>
  </si>
  <si>
    <t>CASA DE JUSTICIA</t>
  </si>
  <si>
    <t>Apoyar en el mantenimiento preventivo básico de equipos tecnológicos, realizando tareas como limpieza, revisión de cables, conectores y periféricos, con el objetivo de mantener en condiciones óptimas los recursos informáticos de la entidad.</t>
  </si>
  <si>
    <t>MANTENIMIENTO CORRECTIVO</t>
  </si>
  <si>
    <t>LLAMADA TELEFONICA</t>
  </si>
  <si>
    <t>COMUNICACIONES</t>
  </si>
  <si>
    <t>Colaborar en la implementación y seguimiento de medidas básicas de seguridad informática, tales como el monitoreo de alertas básicas, cierre adecuado de sesiones y cumplimiento de rutinas establecidas para el uso seguro de los recursos tecnológicos.</t>
  </si>
  <si>
    <t>Realizar seguimiento a solicitudes y requerimientos tecnológicos de los usuarios, documentando novedades, avances y necesidades adicionales, y comunicándolas oportunamente a los responsables correspondientes.</t>
  </si>
  <si>
    <t>DEPARTAMENTO GENERAL</t>
  </si>
  <si>
    <t>OFICINA DE SISTEMAS</t>
  </si>
  <si>
    <t>Felipe</t>
  </si>
  <si>
    <t>APOYO TECNOLÓGICO</t>
  </si>
  <si>
    <t>Apoyar en tareas logísticas relacionadas con la infraestructura tecnológica, tales como instalación, traslado o reubicación de equipos de cómputo, dispositivos de red y demás componentes tecnológicos, bajo supervisión del personal del área.</t>
  </si>
  <si>
    <t>GESTION HUMANA</t>
  </si>
  <si>
    <t>Sebastian</t>
  </si>
  <si>
    <t>SALUD Y PROTECCION</t>
  </si>
  <si>
    <t>2025-12-03 11:16:19</t>
  </si>
  <si>
    <t>CONTABILIDAD</t>
  </si>
  <si>
    <t>Diana</t>
  </si>
  <si>
    <t>Se solicita la revision de los permisos para una reunión con la DIAN, se le revisa los permisos habilitados en el equipo para la reunión, se le muestra que si tiene los permisos para poder participar en la reunion, ademas se solicta la revision de los permisos en el celular en caso de que el equipo presente problemas y tambien tiene los permisos habilitados</t>
  </si>
  <si>
    <t>2026-01-15</t>
  </si>
  <si>
    <t>2025-12-03 11:18:48</t>
  </si>
  <si>
    <t>Jazmin</t>
  </si>
  <si>
    <t>Se solicita el traslado temporal de la impresora del jefe de inspeccion a la dependencia de la funcionaria solicitante, se le deja instalada la impresora y se le deja en evidencia el funcionamiento normal de la impresora a la funcionaria</t>
  </si>
  <si>
    <t>2026-01-08 14:55:34</t>
  </si>
  <si>
    <t>CENTRO DÍA</t>
  </si>
  <si>
    <t>Olga Mary</t>
  </si>
  <si>
    <t>Se solicita la revision en la configuracion con respecto a la impresora, se organiza la conexion y se deja evidenciada el funcionamiento normal al imprimir</t>
  </si>
  <si>
    <t>2026-01-08</t>
  </si>
  <si>
    <t>2026-01-08 14:57:18</t>
  </si>
  <si>
    <t>Se solicita la revision en la configuracion con respecto a la conexion a internet, debido a que estaba conectado al Wi-Fi, se revisa los cables y se deja funcionando normal la conexion</t>
  </si>
  <si>
    <t>2026-01-08 15:02:13</t>
  </si>
  <si>
    <t>ALCALDÍA</t>
  </si>
  <si>
    <t>Marleny</t>
  </si>
  <si>
    <t>Se solicita la revision con respecto a un error con el escaner al momento de guardar la informacion, se revisa y reinicia el equipo y la impresora, esta funciona correctamente y se le deja evidenciado al funcionario</t>
  </si>
  <si>
    <t>2026-01-09 15:44:16</t>
  </si>
  <si>
    <t>Mario Henao</t>
  </si>
  <si>
    <t>Se solicita la revisión de las GPO o políticas que se aplican a los usuario para el cambio del papel tapiz o fondo de pantalla de lo equipos de computo de la administración municipal, se cambia una politica deshabilitada que evitaba el cambio de este fondo de pantalla</t>
  </si>
  <si>
    <t>2026-01-10</t>
  </si>
  <si>
    <t>2026-01-09 15:47:28</t>
  </si>
  <si>
    <t>MEDIOAMBIENTE</t>
  </si>
  <si>
    <t>Yeny Andrea</t>
  </si>
  <si>
    <t>Se solicita el cambio de contraseña del correo perteneciente a la dependencia de Medio Ambiente, debido al olvido de la contraseña, se le hace el cambio y se le da la información respectiva a la funcionaria</t>
  </si>
  <si>
    <t>2026-01-13</t>
  </si>
  <si>
    <t>2026-01-14 08:45:31</t>
  </si>
  <si>
    <t>UAI</t>
  </si>
  <si>
    <t>Liliana Andrea</t>
  </si>
  <si>
    <t>Se solicita la revision de el usuario de la funcionaria para el acceso a la intranet donde se le da a entender que el nuevo usuario es la cedula</t>
  </si>
  <si>
    <t>2026-01-14</t>
  </si>
  <si>
    <t>2026-01-14 08:47:36</t>
  </si>
  <si>
    <t>Se solicita la revision de la contraseña de la funcionaria para el acceso a la intranet donde se le informa sobre la nueva contraseña de la funcionaria</t>
  </si>
  <si>
    <t>2026-01-14 08:48:47</t>
  </si>
  <si>
    <t>Se solicita la revision del estado de la funcionaria para el acceso a la intranet donde se le informa que el estado de la funcionaria estaba desactivado, se le activa el usuario a la funcionaria</t>
  </si>
  <si>
    <t>2026-01-14 11:34:44</t>
  </si>
  <si>
    <t>DESARROLLO COMUNITARIO</t>
  </si>
  <si>
    <t>Ana</t>
  </si>
  <si>
    <t>Se solicita la revision del funcionamiento de la impresora que funciona para la funcionaria y otros funcionarios, se organiza la impresora y se le deja conectada la impresora a la red</t>
  </si>
  <si>
    <t>2026-01-14 11:36:25</t>
  </si>
  <si>
    <t>Se solicita la revision de impresion desde el dispositivo a la impresora, se le hace la conexion y se le deja evidenciada el funcionamiento de la conexion</t>
  </si>
  <si>
    <t>2026-01-14 11:38:54</t>
  </si>
  <si>
    <t>Colaborar en el control y actualización del inventario de activos tecnológicos, incluyendo equipos de cómputo, dispositivos de red, periféricos y demás recursos asignados a las dependencias, según los procedimientos establecidos por la oficina de sistemas.</t>
  </si>
  <si>
    <t>Se solicita la revision del funcionamuento del wifi en la dependencia, se revisa el router y se evidencia que esta desconectado, se conecta el router y este muestra conexion, se le deja evidenciado el funcionamiento del Wi-Fi</t>
  </si>
  <si>
    <t>2026-01-14 11:56:04</t>
  </si>
  <si>
    <t>Melida</t>
  </si>
  <si>
    <t>Se solicita la revision de la conexion a internet de la funcionaria, se hace la revision correspondiente en el equipo, se revisa en el switch y se le deja evidenciado a la solicitante el funcionamiento de la conexion a internet</t>
  </si>
  <si>
    <t>2026-01-14 11:59:54</t>
  </si>
  <si>
    <t>Lina Maria</t>
  </si>
  <si>
    <t>Se solicita la conexion a la impresora para que la funcionaria pueda imprimir desde el equipo, se hace la revision de la conexion y se le deja evidenciado el funcionamiento normal de la impresora</t>
  </si>
  <si>
    <t>2026-01-14 13:27:24</t>
  </si>
  <si>
    <t>PLANEACIÓN</t>
  </si>
  <si>
    <t>Se solicita la revision de la conexion a internet del solicitante, se hace la revision de la conexion a internet, y se le deja evidenciado el funcionamiento normal del internet</t>
  </si>
  <si>
    <t>2026-01-16 11:23:35</t>
  </si>
  <si>
    <t>Secretaria de Movilidad</t>
  </si>
  <si>
    <t>Carlos Andres</t>
  </si>
  <si>
    <t>Se solicita la revision del usuario en la intranet y el cambio de contraseña, se le realiza de estado de inactivo a activo y se le hace el cambio a la contraseña, el funcionario ingresa a la intranet</t>
  </si>
  <si>
    <t>2026-01-16</t>
  </si>
  <si>
    <t>2026-01-16 11:24:29</t>
  </si>
  <si>
    <t>Cristian</t>
  </si>
  <si>
    <t>2026-01-16 11:27:53</t>
  </si>
  <si>
    <t>Apoyar en la documentación técnica del área, incluyendo la organización y archivo de documentos, informes de soporte y demás registros, de acuerdo con las directrices internas y del Sistema de Gestión de Calidad.</t>
  </si>
  <si>
    <t>Se solicita la creacion del cronograma de las capacitaciones solicitadas al equipo de sistemas, que se les dara a los funcionarios, esto con el fin de realizar lo necesitado para la calidad</t>
  </si>
  <si>
    <t>2026-01-16 11:30:31</t>
  </si>
  <si>
    <t>Se solicita la creacion del catalogo de servicios de los servicios tecnicos al equipo de sistemas, que se les dara a los funcionarios, esto con el fin de realizar lo necesitado para la calidad y dar a conocer a los funcionarios el tiempo necesitado para cumplir con solicitudes de apoyo tecnico</t>
  </si>
  <si>
    <t>2026-01-19</t>
  </si>
  <si>
    <t>2026-01-16 11:34:32</t>
  </si>
  <si>
    <t>Apoyar en otras actividades de carácter técnico-operativo o administrativo relacionadas con la gestión de las tecnologías de la información, que le sean asignadas por el supervisor del contrato o del ordenador del gasto, en concordancia con el objeto contractual.</t>
  </si>
  <si>
    <t>Se solicita el bloqueo o desisntalacion de software no licenciado conocido como Cuyis, y que esta posiblemente instalado en equipos de computo de la administración municipal</t>
  </si>
  <si>
    <t>2026-01-16 11:39:53</t>
  </si>
  <si>
    <t>Se solicita el bloqueo o desisntalacion de software no licenciado o que ya no tiene soporte y es innecesario en os equipos de la administración municipal, reduciendo riesgos y vulnerabilidades</t>
  </si>
  <si>
    <t>2026-01-16 14:52:58</t>
  </si>
  <si>
    <t>Marta Rut</t>
  </si>
  <si>
    <t>Se solicita la activacion del usuario y el cambio de la contraseña en la intranet, se le hace el cambio de estado y la contraseña respectivas</t>
  </si>
  <si>
    <t>2026-01-20</t>
  </si>
  <si>
    <t>2026-01-16 14:54:41</t>
  </si>
  <si>
    <t>Subsecretaria de Familia</t>
  </si>
  <si>
    <t>Maria Cecilia</t>
  </si>
  <si>
    <t>Se solicita el cambio de contraseña para la funcionaria en la intranet, se le deja la contraseña y en caso de requerir ayuda la extencion</t>
  </si>
  <si>
    <t>2026-01-16 15:14:08</t>
  </si>
  <si>
    <t>E-MAIL</t>
  </si>
  <si>
    <t>Se solicita el cambio de contraseña de la funcionaria para el acceso a la intranet de la funcionaria, se le envian los datos respectivos al correo como respuesta y se queda atento a cualquier novedad</t>
  </si>
  <si>
    <t>2026-01-19 08:29:00</t>
  </si>
  <si>
    <t>EJECUCIONES FISCALES</t>
  </si>
  <si>
    <t>Cristina</t>
  </si>
  <si>
    <t>Se solicita el cambio de contraseña del usuario de Symir, se realiza el cambio de contraseña a del usuario de Symir y se le deja la informacion a la funcionaria</t>
  </si>
  <si>
    <t>2026-01-21</t>
  </si>
  <si>
    <t>2026-01-19 11:38:46</t>
  </si>
  <si>
    <t>DESARROLLO ECONOMICO</t>
  </si>
  <si>
    <t>Uriel</t>
  </si>
  <si>
    <t>Se solicita la conexion a la impresora del equipo de apoyo, se hace la revisionrespectiva a la conexion y se conecta el telefono permitiendo la llegada de red al equipo</t>
  </si>
  <si>
    <t>2026-01-19 11:40:49</t>
  </si>
  <si>
    <t>Se solicita la conexion a la impresora del equipo de apoyo, se hace la revisionrespectiva a la conexion y se conecta el equipo con la impresora, se prueba con una impresion y se evidencia el funcionamiento</t>
  </si>
  <si>
    <t>2026-01-19 11:43:42</t>
  </si>
  <si>
    <t>Yuli</t>
  </si>
  <si>
    <t>Se solicita el cambio de contraseña para el equipo de la solicitante, se hace la revision y se hace el ingreso al equipo, se le evidencia a la funcionaria el funcionamiento</t>
  </si>
  <si>
    <t>2026-01-19 11:52:40</t>
  </si>
  <si>
    <t>Se solicita la conexion a la impresora para que el solicitante pueda imprimir, se realiza la conexion y se le solicita a la funcionaria que imprima, se imprime el documento y se le entraga a la funcionaria</t>
  </si>
  <si>
    <t>2026-01-19 12:00:18</t>
  </si>
  <si>
    <t>Se solicita la revision de las instalaciones del equipo, especialmente el de red, para mover el equipo permitiendo mas especio para el funcionario, se deja con mayor especio de trabajo y movimiento</t>
  </si>
  <si>
    <t>2026-01-19 14:55:21</t>
  </si>
  <si>
    <t>TESORERIA</t>
  </si>
  <si>
    <t>Gloria</t>
  </si>
  <si>
    <t>Se solicita la revision con los documentos enviados a imprimir, pues la impresora no esta respondiendo ante los documentos, se cancelan los documentos a peticion de la funcionaria, y se prueba con un documento, se deja evidenciado que la impresora funciona normalmente</t>
  </si>
  <si>
    <t>2026-01-22</t>
  </si>
  <si>
    <t>2026-01-19 15:06:04</t>
  </si>
  <si>
    <t>Diego</t>
  </si>
  <si>
    <t>Se solicita el cambio de contraseña de correo, se le envia al usuario por via correo electronico la nueva contraseña del correo solicitado</t>
  </si>
  <si>
    <t>2026-01-20 16:23:06</t>
  </si>
  <si>
    <t>ALMACEN MUNICIPAL</t>
  </si>
  <si>
    <t>Carolina</t>
  </si>
  <si>
    <t xml:space="preserve">Se solicita la conexión del equipo a la impresora de Ejecuciones Fiscales para que la funcionaria pueda imprimir, se le hace la conexión a la impresora y se le solicita a la funcionaria que envié a imprimir un documento, se le evidencia a la funcionaria la conexión con la impresora </t>
  </si>
  <si>
    <t>2026-01-20 16:23:51</t>
  </si>
  <si>
    <t>Natalia</t>
  </si>
  <si>
    <t>2026-01-23</t>
  </si>
  <si>
    <t>2026-01-20 16:25:22</t>
  </si>
  <si>
    <t>Camila</t>
  </si>
  <si>
    <t>2026-01-20 16:25:46</t>
  </si>
  <si>
    <t>Lorena</t>
  </si>
  <si>
    <t>2026-01-20 16:28:54</t>
  </si>
  <si>
    <t>Hugo</t>
  </si>
  <si>
    <t>2026-01-21 10:51:39</t>
  </si>
  <si>
    <t>Luis Alejandro Agudelo Lopez</t>
  </si>
  <si>
    <t>INSTALACIONES NUEVAS</t>
  </si>
  <si>
    <t>Se solicita la creacion de un nuevo correo electronico para el funcionario, se confirma con el funcionario la direccion de correo, se crea el nuevo correo institucional y se le envia la informacion correspondiente</t>
  </si>
  <si>
    <t>2026-01-26</t>
  </si>
  <si>
    <t>2026-01-21 10:56:33</t>
  </si>
  <si>
    <t>Subsecretaria de Movilidad</t>
  </si>
  <si>
    <t>Paula</t>
  </si>
  <si>
    <t>Se solicita la revision del funcionamiento del telefono la dependencia, se confirma que el telefono esta funcionando normal, se prueba con la funcionaria el recibimiento y llamadas salientes del telefono, queda la constancia del funcionamiento normal del telefono</t>
  </si>
  <si>
    <t>2026-01-21 10:59:56</t>
  </si>
  <si>
    <t>Santiago</t>
  </si>
  <si>
    <t>Se solicita la recarga tinta a la impresora del funcionario, se hace la recarga correspondiente y se le deja evidenciado al funcionario la recarga de tinta</t>
  </si>
  <si>
    <t>2026-01-21 16:06:02</t>
  </si>
  <si>
    <t>Se solicita la revision de un equipo en deshuso y la posibilidad de actualizarlos, se hace la revision correspondiente al procesador, que ram soporta, se actualiza la ram y se verifica que el equipo sea capaz de soportar la nueva capacidad</t>
  </si>
  <si>
    <t>2026-01-27</t>
  </si>
  <si>
    <t>2026-01-21 16:08:41</t>
  </si>
  <si>
    <t>CATASTRO</t>
  </si>
  <si>
    <t>Susana</t>
  </si>
  <si>
    <t>Se solicita la revision del equipo con la conexion a la impresora, se hace la revision correspondiente con la conexion y se le deja a la funcionaria el funcionamiento de la impresora</t>
  </si>
  <si>
    <t>2026-01-21 17:06:27</t>
  </si>
  <si>
    <t>CONTRATACION</t>
  </si>
  <si>
    <t>Andres</t>
  </si>
  <si>
    <t>Se solicita la revision del equipo por la sobre tensionn de la RAM que ha obstaculizado los procesos y el uso, se le hace un fresco de la ram y se le deja evidenciado una mejor capacidad de uso</t>
  </si>
  <si>
    <t>2026-01-21 17:10:59</t>
  </si>
  <si>
    <t>Se solicita la revision y acompañamiento de planes institucionales, discutiendo cualquier duda y aclarando ideas sobre los planes y presentaciones, se hace revision sobre las normatividades y se espera a revision con Calidad</t>
  </si>
  <si>
    <t>2026-01-21 17:57:40</t>
  </si>
  <si>
    <t>2026-01-21 17:58:17</t>
  </si>
  <si>
    <t>2026-01-22 09:17:34</t>
  </si>
  <si>
    <t>Gustavo</t>
  </si>
  <si>
    <t>Se solicita el cambio de contraseña para la intranet, se hace el cambio respectivo y se evidencia con el funcionario el acceso a su usuario</t>
  </si>
  <si>
    <t>2026-01-28</t>
  </si>
  <si>
    <t>2026-01-22 15:44:02</t>
  </si>
  <si>
    <t>Ulises</t>
  </si>
  <si>
    <t>Se solicita la conjexion del equipo del funcionario a la impresora, permitiendo escanear e imprimir, se le conecta el equipo a la impresora y se le muestra al funcionario que ya imprime</t>
  </si>
  <si>
    <t>2026-01-22 15:45:21</t>
  </si>
  <si>
    <t>Subsecretaria de Medioambiente</t>
  </si>
  <si>
    <t>2026-01-22 15:45:42</t>
  </si>
  <si>
    <t>2026-01-22 15:49:27</t>
  </si>
  <si>
    <t>Yuliana</t>
  </si>
  <si>
    <t>Se solicita el cambio de contraseña para el ingreso al equipo del funcionario, se hace el cambio respectivo y se le deja evidenciado al funcionario que puede ingresar al equipo</t>
  </si>
  <si>
    <t>2026-01-22 15:53:10</t>
  </si>
  <si>
    <t>Se solicita la instalacion de equipo actualizado en el puesto de trabajo, con conexión a electricidad y red, se le deja en evidencia al funcionario el funcionamiento del equipo</t>
  </si>
  <si>
    <t>2026-01-22 15:53:42</t>
  </si>
  <si>
    <t>2026-01-22 15:55:38</t>
  </si>
  <si>
    <t>Se solicita la creacion de un usuario nuevo para el equipo actualizado en el puesto de trabajo permitiendo al nuevo funcionario utilizar el
equipo</t>
  </si>
  <si>
    <t>2026-01-22 15:57:24</t>
  </si>
  <si>
    <t>2026-01-22 16:16:33</t>
  </si>
  <si>
    <t>Valentina Galvis</t>
  </si>
  <si>
    <t>Se solicita la revision de la actividad e ingresos al correo electronico, se le evidencia al funcionario sobre el dispositivo que esta mostrando acividad, se cambia la contraseña del correo electronico institucional</t>
  </si>
  <si>
    <t>2026-01-23 10:18:46</t>
  </si>
  <si>
    <t>Yaisson</t>
  </si>
  <si>
    <t>Se solicita el cambio de contraseña de la intranet permitiendo que el funcionario ingrese a sus datos en la intranet, se hace el cambio respectivo, y se le informa al funcionario</t>
  </si>
  <si>
    <t>2026-01-29</t>
  </si>
  <si>
    <t>2026-01-23 10:20:10</t>
  </si>
  <si>
    <t>HACIENDA</t>
  </si>
  <si>
    <t>Flor Montoya</t>
  </si>
  <si>
    <t>2026-01-23 14:18:25</t>
  </si>
  <si>
    <t>Luis Alejandro</t>
  </si>
  <si>
    <t>Se solicita la revisión de un correo electrónico por sospechas sobre un correo donde se sospecha la suplantación de identidad, se hace la revisión correspondiente y se confirma que el correo es una suplantación de identidad</t>
  </si>
  <si>
    <t>2026-01-30</t>
  </si>
  <si>
    <t>2026-01-23 14:20:18</t>
  </si>
  <si>
    <t>Se solicita la creación de una restricción con respecto a un correo electrónico que se ha identificado como malicioso a través de las reglas del correo electrónico institucional, se hace la revisión correspondiente y se crea la regla de cumplimiento</t>
  </si>
  <si>
    <t>2026-01-23 14:57:07</t>
  </si>
  <si>
    <t>Se solicita el envió de un mensaje masivo a la administración municipal informando sobre el tratamiento de un caso de suplantación de identidad, dando a conocer el manejo del caso.</t>
  </si>
  <si>
    <t>2026-01-23 16:50:00</t>
  </si>
  <si>
    <t>Leidy Bibiana</t>
  </si>
  <si>
    <t>Se solicita otorgar permisos a una nueva funcionaria encargada, se le otorgan los permisos correspondiente y se le informa al funcionario sobre la otorgacion de permisos</t>
  </si>
  <si>
    <t>2026-01-26 10:55:48</t>
  </si>
  <si>
    <t>Flor</t>
  </si>
  <si>
    <t>Se solicita la revision del equipo ya que este sacaba algo y no dejaba iniciar, se revisa el equipo y se inicia el equipo, se le dejan evidenciada el funcionamiento del equipo</t>
  </si>
  <si>
    <t>2026-02-02</t>
  </si>
  <si>
    <t>2026-01-26 10:58:12</t>
  </si>
  <si>
    <t>Luz Aida</t>
  </si>
  <si>
    <t>Se solicita el el cambio de firma del correo electronico, se realiza el cambio y se le evidencia a la funcionaria el cambio de firma de correo electronico</t>
  </si>
  <si>
    <t>2026-01-26 11:02:27</t>
  </si>
  <si>
    <t>GOBIERNO</t>
  </si>
  <si>
    <t>Bibiana</t>
  </si>
  <si>
    <t>Se solicita el cambio de contraseña del equipo, pues no ingresaba, se hace el cambio y se le informa a la funcionaria</t>
  </si>
  <si>
    <t>2026-01-27 08:39:41</t>
  </si>
  <si>
    <t>Se solicita la revision de un mensaje en el equipo, se le informa a la funcionaria sobre que trata y se desisntala la aplicacion que estaba generando la notificación</t>
  </si>
  <si>
    <t>2026-02-03</t>
  </si>
  <si>
    <t>2026-01-27 09:41:02</t>
  </si>
  <si>
    <t>IMPUESTOS</t>
  </si>
  <si>
    <t>Ariel</t>
  </si>
  <si>
    <t>Se solicita el cambio de contraseña de un equipo, se le hace el cambio de contraseña y se le informa al funcionario</t>
  </si>
  <si>
    <t>2026-01-27 09:53:59</t>
  </si>
  <si>
    <t>Nora Alba</t>
  </si>
  <si>
    <t>Se solicita cambio de contraseña para el ingreso a los modulos, se hace el cambio de contraseña y se le informa al funcionario</t>
  </si>
  <si>
    <t>2026-02-04</t>
  </si>
  <si>
    <t>2026-01-27 10:05:39</t>
  </si>
  <si>
    <t>Se solicita la asignacion de permisos del modulo a la funcionaria, se hace la asignacion de permisos y se le informa a la funcionaria</t>
  </si>
  <si>
    <t>2026-01-28 17:19:52</t>
  </si>
  <si>
    <t>Mario</t>
  </si>
  <si>
    <t>Se solicta el cumplimiento y recibiemiento de la persona a cargo de los correos solicitados en la dependencia de centro dia, se hace la firma respectiva con la directora</t>
  </si>
  <si>
    <t>2026-01-28 17:22:11</t>
  </si>
  <si>
    <t>INFRAESTRUCTURA</t>
  </si>
  <si>
    <t>Vanesa</t>
  </si>
  <si>
    <t>Se solicita la informacion respectiva al ingreso con las credenciales de la funcionaria a la intranet, se le informa a la funcionaria el cambio con las credenciales y esta ingresa a la plataforma</t>
  </si>
  <si>
    <t>2026-01-29 08:24:49</t>
  </si>
  <si>
    <t>Se solicita la revision de usuario en la intranet ya que la funcionaria le sacaba error, se revisa el usuario y se reactiva en la intranet, se le informa a la solicitante sobre la activacion del usuario y se evidencia con el funcionario que logra ingresar</t>
  </si>
  <si>
    <t>2026-02-05</t>
  </si>
  <si>
    <t>2026-01-29 11:58:08</t>
  </si>
  <si>
    <t>Flor Maria Montoya</t>
  </si>
  <si>
    <t>Se solicita la asignacion de permisos de un modulo, se asignan los permisos correspondientes y se le informa al solicitante</t>
  </si>
  <si>
    <t>2026-01-29 11:58:47</t>
  </si>
  <si>
    <t>Luis Fernando</t>
  </si>
  <si>
    <t>2026-01-29 14:36:24</t>
  </si>
  <si>
    <t>Se solicita la conexion de un equipo de la alcaldia a la impresora de la dependencia, se revisa el equipo y este esta conectado a la impresora, al probar sale la advertencia de seleccionar papel, se hace los cambios necesarios a carta y se vuelve a probar, se le evidencia a la funcionaria que el equipo ahora puede imprimir normalmente</t>
  </si>
  <si>
    <t>2026-01-29 14:40:34</t>
  </si>
  <si>
    <t>Daniela</t>
  </si>
  <si>
    <t>Se solicita la conexion a la impresora de la dependencia, se hace una revision con la impresora, y se cambia la impresora a la IP de la dependencia, se deja conectado el equipo a la impresora con pagina de prueba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</si>
</sst>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6"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0"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8"/>
  <sheetViews>
    <sheetView tabSelected="1" topLeftCell="I1" workbookViewId="0">
      <selection activeCell="N79" sqref="N79"/>
    </sheetView>
  </sheetViews>
  <sheetFormatPr baseColWidth="10" defaultColWidth="9.140625" defaultRowHeight="15" x14ac:dyDescent="0.25"/>
  <cols>
    <col min="2" max="2" width="17.42578125" customWidth="1"/>
    <col min="6" max="6" width="19.5703125" customWidth="1"/>
    <col min="7" max="12" width="25.85546875" customWidth="1"/>
    <col min="14" max="14" width="18.140625" customWidth="1"/>
    <col min="15" max="15" width="25.42578125" customWidth="1"/>
  </cols>
  <sheetData>
    <row r="1" spans="1:15" x14ac:dyDescent="0.25">
      <c r="A1" s="1" t="s">
        <v>0</v>
      </c>
      <c r="B1" s="1" t="s">
        <v>1</v>
      </c>
      <c r="C1" s="1" t="s">
        <v>2</v>
      </c>
      <c r="D1" s="1" t="s">
        <v>3</v>
      </c>
      <c r="E1" s="1" t="s">
        <v>4</v>
      </c>
      <c r="F1" s="1" t="s">
        <v>5</v>
      </c>
      <c r="G1" s="1" t="s">
        <v>6</v>
      </c>
      <c r="H1" s="2" t="str">
        <f>N1</f>
        <v>Fecha de Atención / Cumplimiento</v>
      </c>
      <c r="I1" s="2" t="str">
        <f>C1</f>
        <v>Lugar/Dependencia</v>
      </c>
      <c r="J1" t="str">
        <f>D1</f>
        <v>Solicitante</v>
      </c>
      <c r="K1" t="str">
        <f>E1</f>
        <v>Tipo de Solicitud</v>
      </c>
      <c r="L1" t="str">
        <f>F1</f>
        <v>Medio de Solicitud</v>
      </c>
      <c r="M1" s="1" t="s">
        <v>7</v>
      </c>
      <c r="N1" s="1" t="s">
        <v>8</v>
      </c>
      <c r="O1" s="1" t="s">
        <v>9</v>
      </c>
    </row>
    <row r="2" spans="1:15" x14ac:dyDescent="0.25">
      <c r="A2">
        <v>3</v>
      </c>
      <c r="B2" t="s">
        <v>39</v>
      </c>
      <c r="C2" t="s">
        <v>40</v>
      </c>
      <c r="D2" t="s">
        <v>41</v>
      </c>
      <c r="E2" t="s">
        <v>12</v>
      </c>
      <c r="F2" t="s">
        <v>19</v>
      </c>
      <c r="G2" t="s">
        <v>14</v>
      </c>
      <c r="H2" t="str">
        <f>N2</f>
        <v>2026-01-08</v>
      </c>
      <c r="I2" t="str">
        <f>C2</f>
        <v>CENTRO DÍA</v>
      </c>
      <c r="J2" t="str">
        <f>D2</f>
        <v>Olga Mary</v>
      </c>
      <c r="K2" t="str">
        <f>E2</f>
        <v>ASESORIA Y ASISTENCIA</v>
      </c>
      <c r="L2" t="str">
        <f>F2</f>
        <v>LLAMADA TELEFONICA</v>
      </c>
      <c r="M2" t="s">
        <v>15</v>
      </c>
      <c r="N2" t="s">
        <v>43</v>
      </c>
      <c r="O2" t="s">
        <v>42</v>
      </c>
    </row>
    <row r="3" spans="1:15" x14ac:dyDescent="0.25">
      <c r="A3">
        <v>4</v>
      </c>
      <c r="B3" t="s">
        <v>44</v>
      </c>
      <c r="C3" t="s">
        <v>40</v>
      </c>
      <c r="D3" t="s">
        <v>41</v>
      </c>
      <c r="E3" t="s">
        <v>18</v>
      </c>
      <c r="F3" t="s">
        <v>13</v>
      </c>
      <c r="G3" t="s">
        <v>17</v>
      </c>
      <c r="H3" t="str">
        <f>N3</f>
        <v>2026-01-08</v>
      </c>
      <c r="I3" t="str">
        <f>C3</f>
        <v>CENTRO DÍA</v>
      </c>
      <c r="J3" t="str">
        <f>D3</f>
        <v>Olga Mary</v>
      </c>
      <c r="K3" t="str">
        <f>E3</f>
        <v>MANTENIMIENTO CORRECTIVO</v>
      </c>
      <c r="L3" t="str">
        <f>F3</f>
        <v>SOLICITUD VERBAL</v>
      </c>
      <c r="M3" t="s">
        <v>15</v>
      </c>
      <c r="N3" t="s">
        <v>43</v>
      </c>
      <c r="O3" t="s">
        <v>45</v>
      </c>
    </row>
    <row r="4" spans="1:15" x14ac:dyDescent="0.25">
      <c r="A4">
        <v>5</v>
      </c>
      <c r="B4" t="s">
        <v>46</v>
      </c>
      <c r="C4" t="s">
        <v>47</v>
      </c>
      <c r="D4" t="s">
        <v>48</v>
      </c>
      <c r="E4" t="s">
        <v>26</v>
      </c>
      <c r="F4" t="s">
        <v>19</v>
      </c>
      <c r="G4" t="s">
        <v>14</v>
      </c>
      <c r="H4" t="str">
        <f>N4</f>
        <v>2026-01-08</v>
      </c>
      <c r="I4" t="str">
        <f>C4</f>
        <v>ALCALDÍA</v>
      </c>
      <c r="J4" t="str">
        <f>D4</f>
        <v>Marleny</v>
      </c>
      <c r="K4" t="str">
        <f>E4</f>
        <v>APOYO TECNOLÓGICO</v>
      </c>
      <c r="L4" t="str">
        <f>F4</f>
        <v>LLAMADA TELEFONICA</v>
      </c>
      <c r="M4" t="s">
        <v>15</v>
      </c>
      <c r="N4" t="s">
        <v>43</v>
      </c>
      <c r="O4" t="s">
        <v>49</v>
      </c>
    </row>
    <row r="5" spans="1:15" s="3" customFormat="1" x14ac:dyDescent="0.25">
      <c r="A5" s="3">
        <v>6</v>
      </c>
      <c r="B5" s="3" t="s">
        <v>50</v>
      </c>
      <c r="C5" s="3" t="s">
        <v>24</v>
      </c>
      <c r="D5" s="3" t="s">
        <v>51</v>
      </c>
      <c r="E5" s="3" t="s">
        <v>26</v>
      </c>
      <c r="F5" s="3" t="s">
        <v>13</v>
      </c>
      <c r="G5" s="3" t="s">
        <v>21</v>
      </c>
      <c r="H5" s="3" t="str">
        <f>N5</f>
        <v>2026-01-10</v>
      </c>
      <c r="I5" s="3" t="str">
        <f>C5</f>
        <v>OFICINA DE SISTEMAS</v>
      </c>
      <c r="J5" s="3" t="str">
        <f>D5</f>
        <v>Mario Henao</v>
      </c>
      <c r="K5" s="3" t="str">
        <f>E5</f>
        <v>APOYO TECNOLÓGICO</v>
      </c>
      <c r="L5" s="3" t="str">
        <f>F5</f>
        <v>SOLICITUD VERBAL</v>
      </c>
      <c r="M5" s="3" t="s">
        <v>15</v>
      </c>
      <c r="N5" s="3" t="s">
        <v>53</v>
      </c>
      <c r="O5" s="3" t="s">
        <v>52</v>
      </c>
    </row>
    <row r="6" spans="1:15" s="3" customFormat="1" x14ac:dyDescent="0.25">
      <c r="A6" s="3">
        <v>7</v>
      </c>
      <c r="B6" s="3" t="s">
        <v>54</v>
      </c>
      <c r="C6" s="3" t="s">
        <v>55</v>
      </c>
      <c r="D6" s="3" t="s">
        <v>56</v>
      </c>
      <c r="E6" s="3" t="s">
        <v>12</v>
      </c>
      <c r="F6" s="3" t="s">
        <v>19</v>
      </c>
      <c r="G6" s="3" t="s">
        <v>21</v>
      </c>
      <c r="H6" s="3" t="str">
        <f>N6</f>
        <v>2026-01-13</v>
      </c>
      <c r="I6" s="3" t="str">
        <f>C6</f>
        <v>MEDIOAMBIENTE</v>
      </c>
      <c r="J6" s="3" t="str">
        <f>D6</f>
        <v>Yeny Andrea</v>
      </c>
      <c r="K6" s="3" t="str">
        <f>E6</f>
        <v>ASESORIA Y ASISTENCIA</v>
      </c>
      <c r="L6" s="3" t="str">
        <f>F6</f>
        <v>LLAMADA TELEFONICA</v>
      </c>
      <c r="M6" s="3" t="s">
        <v>15</v>
      </c>
      <c r="N6" s="3" t="s">
        <v>58</v>
      </c>
      <c r="O6" s="3" t="s">
        <v>57</v>
      </c>
    </row>
    <row r="7" spans="1:15" s="3" customFormat="1" x14ac:dyDescent="0.25">
      <c r="A7" s="3">
        <v>8</v>
      </c>
      <c r="B7" s="3" t="s">
        <v>59</v>
      </c>
      <c r="C7" s="3" t="s">
        <v>60</v>
      </c>
      <c r="D7" s="3" t="s">
        <v>61</v>
      </c>
      <c r="E7" s="3" t="s">
        <v>12</v>
      </c>
      <c r="F7" s="3" t="s">
        <v>19</v>
      </c>
      <c r="G7" s="3" t="s">
        <v>21</v>
      </c>
      <c r="H7" s="3" t="str">
        <f>N7</f>
        <v>2026-01-14</v>
      </c>
      <c r="I7" s="3" t="str">
        <f>C7</f>
        <v>UAI</v>
      </c>
      <c r="J7" s="3" t="str">
        <f>D7</f>
        <v>Liliana Andrea</v>
      </c>
      <c r="K7" s="3" t="str">
        <f>E7</f>
        <v>ASESORIA Y ASISTENCIA</v>
      </c>
      <c r="L7" s="3" t="str">
        <f>F7</f>
        <v>LLAMADA TELEFONICA</v>
      </c>
      <c r="M7" s="3" t="s">
        <v>15</v>
      </c>
      <c r="N7" s="3" t="s">
        <v>63</v>
      </c>
      <c r="O7" s="3" t="s">
        <v>62</v>
      </c>
    </row>
    <row r="8" spans="1:15" s="3" customFormat="1" x14ac:dyDescent="0.25">
      <c r="A8" s="3">
        <v>9</v>
      </c>
      <c r="B8" s="3" t="s">
        <v>64</v>
      </c>
      <c r="C8" s="3" t="s">
        <v>60</v>
      </c>
      <c r="D8" s="3" t="s">
        <v>61</v>
      </c>
      <c r="E8" s="3" t="s">
        <v>12</v>
      </c>
      <c r="F8" s="3" t="s">
        <v>19</v>
      </c>
      <c r="G8" s="3" t="s">
        <v>21</v>
      </c>
      <c r="H8" s="3" t="str">
        <f>N8</f>
        <v>2026-01-14</v>
      </c>
      <c r="I8" s="3" t="str">
        <f>C8</f>
        <v>UAI</v>
      </c>
      <c r="J8" s="3" t="str">
        <f>D8</f>
        <v>Liliana Andrea</v>
      </c>
      <c r="K8" s="3" t="str">
        <f>E8</f>
        <v>ASESORIA Y ASISTENCIA</v>
      </c>
      <c r="L8" s="3" t="str">
        <f>F8</f>
        <v>LLAMADA TELEFONICA</v>
      </c>
      <c r="M8" s="3" t="s">
        <v>15</v>
      </c>
      <c r="N8" s="3" t="s">
        <v>63</v>
      </c>
      <c r="O8" s="3" t="s">
        <v>65</v>
      </c>
    </row>
    <row r="9" spans="1:15" s="3" customFormat="1" x14ac:dyDescent="0.25">
      <c r="A9" s="3">
        <v>10</v>
      </c>
      <c r="B9" s="3" t="s">
        <v>66</v>
      </c>
      <c r="C9" s="3" t="s">
        <v>60</v>
      </c>
      <c r="D9" s="3" t="s">
        <v>61</v>
      </c>
      <c r="E9" s="3" t="s">
        <v>12</v>
      </c>
      <c r="F9" s="3" t="s">
        <v>19</v>
      </c>
      <c r="G9" s="3" t="s">
        <v>21</v>
      </c>
      <c r="H9" s="3" t="str">
        <f>N9</f>
        <v>2026-01-14</v>
      </c>
      <c r="I9" s="3" t="str">
        <f>C9</f>
        <v>UAI</v>
      </c>
      <c r="J9" s="3" t="str">
        <f>D9</f>
        <v>Liliana Andrea</v>
      </c>
      <c r="K9" s="3" t="str">
        <f>E9</f>
        <v>ASESORIA Y ASISTENCIA</v>
      </c>
      <c r="L9" s="3" t="str">
        <f>F9</f>
        <v>LLAMADA TELEFONICA</v>
      </c>
      <c r="M9" s="3" t="s">
        <v>15</v>
      </c>
      <c r="N9" s="3" t="s">
        <v>63</v>
      </c>
      <c r="O9" s="3" t="s">
        <v>67</v>
      </c>
    </row>
    <row r="10" spans="1:15" x14ac:dyDescent="0.25">
      <c r="A10">
        <v>11</v>
      </c>
      <c r="B10" t="s">
        <v>68</v>
      </c>
      <c r="C10" t="s">
        <v>69</v>
      </c>
      <c r="D10" t="s">
        <v>70</v>
      </c>
      <c r="E10" t="s">
        <v>18</v>
      </c>
      <c r="F10" t="s">
        <v>13</v>
      </c>
      <c r="G10" t="s">
        <v>17</v>
      </c>
      <c r="H10" t="str">
        <f>N10</f>
        <v>2026-01-14</v>
      </c>
      <c r="I10" t="str">
        <f>C10</f>
        <v>DESARROLLO COMUNITARIO</v>
      </c>
      <c r="J10" t="str">
        <f>D10</f>
        <v>Ana</v>
      </c>
      <c r="K10" t="str">
        <f>E10</f>
        <v>MANTENIMIENTO CORRECTIVO</v>
      </c>
      <c r="L10" t="str">
        <f>F10</f>
        <v>SOLICITUD VERBAL</v>
      </c>
      <c r="M10" t="s">
        <v>15</v>
      </c>
      <c r="N10" t="s">
        <v>63</v>
      </c>
      <c r="O10" t="s">
        <v>71</v>
      </c>
    </row>
    <row r="11" spans="1:15" x14ac:dyDescent="0.25">
      <c r="A11">
        <v>12</v>
      </c>
      <c r="B11" t="s">
        <v>72</v>
      </c>
      <c r="C11" t="s">
        <v>69</v>
      </c>
      <c r="D11" t="s">
        <v>70</v>
      </c>
      <c r="E11" t="s">
        <v>18</v>
      </c>
      <c r="F11" t="s">
        <v>13</v>
      </c>
      <c r="G11" t="s">
        <v>17</v>
      </c>
      <c r="H11" t="str">
        <f>N11</f>
        <v>2026-01-14</v>
      </c>
      <c r="I11" t="str">
        <f>C11</f>
        <v>DESARROLLO COMUNITARIO</v>
      </c>
      <c r="J11" t="str">
        <f>D11</f>
        <v>Ana</v>
      </c>
      <c r="K11" t="str">
        <f>E11</f>
        <v>MANTENIMIENTO CORRECTIVO</v>
      </c>
      <c r="L11" t="str">
        <f>F11</f>
        <v>SOLICITUD VERBAL</v>
      </c>
      <c r="M11" t="s">
        <v>15</v>
      </c>
      <c r="N11" t="s">
        <v>63</v>
      </c>
      <c r="O11" t="s">
        <v>73</v>
      </c>
    </row>
    <row r="12" spans="1:15" x14ac:dyDescent="0.25">
      <c r="A12">
        <v>13</v>
      </c>
      <c r="B12" t="s">
        <v>74</v>
      </c>
      <c r="C12" t="s">
        <v>69</v>
      </c>
      <c r="D12" t="s">
        <v>70</v>
      </c>
      <c r="E12" t="s">
        <v>18</v>
      </c>
      <c r="F12" t="s">
        <v>13</v>
      </c>
      <c r="G12" t="s">
        <v>75</v>
      </c>
      <c r="H12" t="str">
        <f>N12</f>
        <v>2026-01-14</v>
      </c>
      <c r="I12" t="str">
        <f>C12</f>
        <v>DESARROLLO COMUNITARIO</v>
      </c>
      <c r="J12" t="str">
        <f>D12</f>
        <v>Ana</v>
      </c>
      <c r="K12" t="str">
        <f>E12</f>
        <v>MANTENIMIENTO CORRECTIVO</v>
      </c>
      <c r="L12" t="str">
        <f>F12</f>
        <v>SOLICITUD VERBAL</v>
      </c>
      <c r="M12" t="s">
        <v>15</v>
      </c>
      <c r="N12" t="s">
        <v>63</v>
      </c>
      <c r="O12" t="s">
        <v>76</v>
      </c>
    </row>
    <row r="13" spans="1:15" x14ac:dyDescent="0.25">
      <c r="A13">
        <v>14</v>
      </c>
      <c r="B13" t="s">
        <v>77</v>
      </c>
      <c r="C13" t="s">
        <v>69</v>
      </c>
      <c r="D13" t="s">
        <v>78</v>
      </c>
      <c r="E13" t="s">
        <v>18</v>
      </c>
      <c r="F13" t="s">
        <v>13</v>
      </c>
      <c r="G13" t="s">
        <v>75</v>
      </c>
      <c r="H13" t="str">
        <f>N13</f>
        <v>2026-01-14</v>
      </c>
      <c r="I13" t="str">
        <f>C13</f>
        <v>DESARROLLO COMUNITARIO</v>
      </c>
      <c r="J13" t="str">
        <f>D13</f>
        <v>Melida</v>
      </c>
      <c r="K13" t="str">
        <f>E13</f>
        <v>MANTENIMIENTO CORRECTIVO</v>
      </c>
      <c r="L13" t="str">
        <f>F13</f>
        <v>SOLICITUD VERBAL</v>
      </c>
      <c r="M13" t="s">
        <v>15</v>
      </c>
      <c r="N13" t="s">
        <v>63</v>
      </c>
      <c r="O13" t="s">
        <v>79</v>
      </c>
    </row>
    <row r="14" spans="1:15" x14ac:dyDescent="0.25">
      <c r="A14">
        <v>15</v>
      </c>
      <c r="B14" t="s">
        <v>80</v>
      </c>
      <c r="C14" t="s">
        <v>69</v>
      </c>
      <c r="D14" t="s">
        <v>81</v>
      </c>
      <c r="E14" t="s">
        <v>18</v>
      </c>
      <c r="F14" t="s">
        <v>13</v>
      </c>
      <c r="G14" t="s">
        <v>14</v>
      </c>
      <c r="H14" t="str">
        <f>N14</f>
        <v>2026-01-14</v>
      </c>
      <c r="I14" t="str">
        <f>C14</f>
        <v>DESARROLLO COMUNITARIO</v>
      </c>
      <c r="J14" t="str">
        <f>D14</f>
        <v>Lina Maria</v>
      </c>
      <c r="K14" t="str">
        <f>E14</f>
        <v>MANTENIMIENTO CORRECTIVO</v>
      </c>
      <c r="L14" t="str">
        <f>F14</f>
        <v>SOLICITUD VERBAL</v>
      </c>
      <c r="M14" t="s">
        <v>15</v>
      </c>
      <c r="N14" t="s">
        <v>63</v>
      </c>
      <c r="O14" t="s">
        <v>82</v>
      </c>
    </row>
    <row r="15" spans="1:15" x14ac:dyDescent="0.25">
      <c r="A15">
        <v>1</v>
      </c>
      <c r="B15" t="s">
        <v>31</v>
      </c>
      <c r="C15" t="s">
        <v>32</v>
      </c>
      <c r="D15" t="s">
        <v>33</v>
      </c>
      <c r="E15" t="s">
        <v>12</v>
      </c>
      <c r="F15" t="s">
        <v>13</v>
      </c>
      <c r="G15" t="s">
        <v>22</v>
      </c>
      <c r="H15" t="str">
        <f>N15</f>
        <v>2026-01-15</v>
      </c>
      <c r="I15" t="str">
        <f>C15</f>
        <v>CONTABILIDAD</v>
      </c>
      <c r="J15" t="str">
        <f>D15</f>
        <v>Diana</v>
      </c>
      <c r="K15" t="str">
        <f>E15</f>
        <v>ASESORIA Y ASISTENCIA</v>
      </c>
      <c r="L15" t="str">
        <f>F15</f>
        <v>SOLICITUD VERBAL</v>
      </c>
      <c r="M15" t="s">
        <v>15</v>
      </c>
      <c r="N15" t="s">
        <v>35</v>
      </c>
      <c r="O15" t="s">
        <v>34</v>
      </c>
    </row>
    <row r="16" spans="1:15" x14ac:dyDescent="0.25">
      <c r="A16">
        <v>2</v>
      </c>
      <c r="B16" t="s">
        <v>36</v>
      </c>
      <c r="C16" t="s">
        <v>16</v>
      </c>
      <c r="D16" t="s">
        <v>37</v>
      </c>
      <c r="E16" t="s">
        <v>12</v>
      </c>
      <c r="F16" t="s">
        <v>19</v>
      </c>
      <c r="G16" t="s">
        <v>27</v>
      </c>
      <c r="H16" t="str">
        <f>N16</f>
        <v>2026-01-15</v>
      </c>
      <c r="I16" t="str">
        <f>C16</f>
        <v>CASA DE JUSTICIA</v>
      </c>
      <c r="J16" t="str">
        <f>D16</f>
        <v>Jazmin</v>
      </c>
      <c r="K16" t="str">
        <f>E16</f>
        <v>ASESORIA Y ASISTENCIA</v>
      </c>
      <c r="L16" t="str">
        <f>F16</f>
        <v>LLAMADA TELEFONICA</v>
      </c>
      <c r="M16" t="s">
        <v>15</v>
      </c>
      <c r="N16" t="s">
        <v>35</v>
      </c>
      <c r="O16" t="s">
        <v>38</v>
      </c>
    </row>
    <row r="17" spans="1:15" x14ac:dyDescent="0.25">
      <c r="A17">
        <v>16</v>
      </c>
      <c r="B17" t="s">
        <v>83</v>
      </c>
      <c r="C17" t="s">
        <v>84</v>
      </c>
      <c r="D17" t="s">
        <v>29</v>
      </c>
      <c r="E17" t="s">
        <v>18</v>
      </c>
      <c r="F17" t="s">
        <v>13</v>
      </c>
      <c r="G17" t="s">
        <v>17</v>
      </c>
      <c r="H17" t="str">
        <f>N17</f>
        <v>2026-01-15</v>
      </c>
      <c r="I17" t="str">
        <f>C17</f>
        <v>PLANEACIÓN</v>
      </c>
      <c r="J17" t="str">
        <f>D17</f>
        <v>Sebastian</v>
      </c>
      <c r="K17" t="str">
        <f>E17</f>
        <v>MANTENIMIENTO CORRECTIVO</v>
      </c>
      <c r="L17" t="str">
        <f>F17</f>
        <v>SOLICITUD VERBAL</v>
      </c>
      <c r="M17" t="s">
        <v>15</v>
      </c>
      <c r="N17" t="s">
        <v>35</v>
      </c>
      <c r="O17" t="s">
        <v>85</v>
      </c>
    </row>
    <row r="18" spans="1:15" s="3" customFormat="1" x14ac:dyDescent="0.25">
      <c r="A18" s="3">
        <v>17</v>
      </c>
      <c r="B18" s="3" t="s">
        <v>86</v>
      </c>
      <c r="C18" s="3" t="s">
        <v>87</v>
      </c>
      <c r="D18" s="3" t="s">
        <v>88</v>
      </c>
      <c r="E18" s="3" t="s">
        <v>12</v>
      </c>
      <c r="F18" s="3" t="s">
        <v>13</v>
      </c>
      <c r="G18" s="3" t="s">
        <v>21</v>
      </c>
      <c r="H18" s="3" t="str">
        <f>N18</f>
        <v>2026-01-16</v>
      </c>
      <c r="I18" s="3" t="str">
        <f>C18</f>
        <v>Secretaria de Movilidad</v>
      </c>
      <c r="J18" s="3" t="str">
        <f>D18</f>
        <v>Carlos Andres</v>
      </c>
      <c r="K18" s="3" t="str">
        <f>E18</f>
        <v>ASESORIA Y ASISTENCIA</v>
      </c>
      <c r="L18" s="3" t="str">
        <f>F18</f>
        <v>SOLICITUD VERBAL</v>
      </c>
      <c r="M18" s="3" t="s">
        <v>15</v>
      </c>
      <c r="N18" s="3" t="s">
        <v>90</v>
      </c>
      <c r="O18" s="3" t="s">
        <v>89</v>
      </c>
    </row>
    <row r="19" spans="1:15" s="3" customFormat="1" x14ac:dyDescent="0.25">
      <c r="A19" s="3">
        <v>18</v>
      </c>
      <c r="B19" s="3" t="s">
        <v>91</v>
      </c>
      <c r="C19" s="3" t="s">
        <v>87</v>
      </c>
      <c r="D19" s="3" t="s">
        <v>92</v>
      </c>
      <c r="E19" s="3" t="s">
        <v>12</v>
      </c>
      <c r="F19" s="3" t="s">
        <v>13</v>
      </c>
      <c r="G19" s="3" t="s">
        <v>21</v>
      </c>
      <c r="H19" s="3" t="str">
        <f>N19</f>
        <v>2026-01-16</v>
      </c>
      <c r="I19" s="3" t="str">
        <f>C19</f>
        <v>Secretaria de Movilidad</v>
      </c>
      <c r="J19" s="3" t="str">
        <f>D19</f>
        <v>Cristian</v>
      </c>
      <c r="K19" s="3" t="str">
        <f>E19</f>
        <v>ASESORIA Y ASISTENCIA</v>
      </c>
      <c r="L19" s="3" t="str">
        <f>F19</f>
        <v>SOLICITUD VERBAL</v>
      </c>
      <c r="M19" s="3" t="s">
        <v>15</v>
      </c>
      <c r="N19" s="3" t="s">
        <v>90</v>
      </c>
      <c r="O19" s="3" t="s">
        <v>89</v>
      </c>
    </row>
    <row r="20" spans="1:15" x14ac:dyDescent="0.25">
      <c r="A20">
        <v>19</v>
      </c>
      <c r="B20" t="s">
        <v>93</v>
      </c>
      <c r="C20" t="s">
        <v>24</v>
      </c>
      <c r="D20" t="s">
        <v>25</v>
      </c>
      <c r="E20" t="s">
        <v>26</v>
      </c>
      <c r="F20" t="s">
        <v>13</v>
      </c>
      <c r="G20" t="s">
        <v>94</v>
      </c>
      <c r="H20" t="str">
        <f>N20</f>
        <v>2026-01-16</v>
      </c>
      <c r="I20" t="str">
        <f>C20</f>
        <v>OFICINA DE SISTEMAS</v>
      </c>
      <c r="J20" t="str">
        <f>D20</f>
        <v>Felipe</v>
      </c>
      <c r="K20" t="str">
        <f>E20</f>
        <v>APOYO TECNOLÓGICO</v>
      </c>
      <c r="L20" t="str">
        <f>F20</f>
        <v>SOLICITUD VERBAL</v>
      </c>
      <c r="M20" t="s">
        <v>15</v>
      </c>
      <c r="N20" t="s">
        <v>90</v>
      </c>
      <c r="O20" t="s">
        <v>95</v>
      </c>
    </row>
    <row r="21" spans="1:15" x14ac:dyDescent="0.25">
      <c r="A21">
        <v>20</v>
      </c>
      <c r="B21" t="s">
        <v>96</v>
      </c>
      <c r="C21" t="s">
        <v>24</v>
      </c>
      <c r="D21" t="s">
        <v>25</v>
      </c>
      <c r="E21" t="s">
        <v>12</v>
      </c>
      <c r="F21" t="s">
        <v>13</v>
      </c>
      <c r="G21" t="s">
        <v>94</v>
      </c>
      <c r="H21" t="str">
        <f>N21</f>
        <v>2026-01-19</v>
      </c>
      <c r="I21" t="str">
        <f>C21</f>
        <v>OFICINA DE SISTEMAS</v>
      </c>
      <c r="J21" t="str">
        <f>D21</f>
        <v>Felipe</v>
      </c>
      <c r="K21" t="str">
        <f>E21</f>
        <v>ASESORIA Y ASISTENCIA</v>
      </c>
      <c r="L21" t="str">
        <f>F21</f>
        <v>SOLICITUD VERBAL</v>
      </c>
      <c r="M21" t="s">
        <v>15</v>
      </c>
      <c r="N21" t="s">
        <v>98</v>
      </c>
      <c r="O21" t="s">
        <v>97</v>
      </c>
    </row>
    <row r="22" spans="1:15" x14ac:dyDescent="0.25">
      <c r="A22">
        <v>21</v>
      </c>
      <c r="B22" t="s">
        <v>99</v>
      </c>
      <c r="C22" t="s">
        <v>24</v>
      </c>
      <c r="D22" t="s">
        <v>51</v>
      </c>
      <c r="E22" t="s">
        <v>26</v>
      </c>
      <c r="F22" t="s">
        <v>13</v>
      </c>
      <c r="G22" t="s">
        <v>100</v>
      </c>
      <c r="H22" t="str">
        <f>N22</f>
        <v>2026-01-19</v>
      </c>
      <c r="I22" t="str">
        <f>C22</f>
        <v>OFICINA DE SISTEMAS</v>
      </c>
      <c r="J22" t="str">
        <f>D22</f>
        <v>Mario Henao</v>
      </c>
      <c r="K22" t="str">
        <f>E22</f>
        <v>APOYO TECNOLÓGICO</v>
      </c>
      <c r="L22" t="str">
        <f>F22</f>
        <v>SOLICITUD VERBAL</v>
      </c>
      <c r="M22" t="s">
        <v>15</v>
      </c>
      <c r="N22" t="s">
        <v>98</v>
      </c>
      <c r="O22" t="s">
        <v>101</v>
      </c>
    </row>
    <row r="23" spans="1:15" x14ac:dyDescent="0.25">
      <c r="A23">
        <v>22</v>
      </c>
      <c r="B23" t="s">
        <v>102</v>
      </c>
      <c r="C23" t="s">
        <v>24</v>
      </c>
      <c r="D23" t="s">
        <v>51</v>
      </c>
      <c r="E23" t="s">
        <v>26</v>
      </c>
      <c r="F23" t="s">
        <v>13</v>
      </c>
      <c r="G23" t="s">
        <v>100</v>
      </c>
      <c r="H23" t="str">
        <f>N23</f>
        <v>2026-01-19</v>
      </c>
      <c r="I23" t="str">
        <f>C23</f>
        <v>OFICINA DE SISTEMAS</v>
      </c>
      <c r="J23" t="str">
        <f>D23</f>
        <v>Mario Henao</v>
      </c>
      <c r="K23" t="str">
        <f>E23</f>
        <v>APOYO TECNOLÓGICO</v>
      </c>
      <c r="L23" t="str">
        <f>F23</f>
        <v>SOLICITUD VERBAL</v>
      </c>
      <c r="M23" t="s">
        <v>15</v>
      </c>
      <c r="N23" t="s">
        <v>98</v>
      </c>
      <c r="O23" t="s">
        <v>103</v>
      </c>
    </row>
    <row r="24" spans="1:15" s="3" customFormat="1" x14ac:dyDescent="0.25">
      <c r="A24" s="3">
        <v>23</v>
      </c>
      <c r="B24" s="3" t="s">
        <v>104</v>
      </c>
      <c r="C24" s="3" t="s">
        <v>28</v>
      </c>
      <c r="D24" s="3" t="s">
        <v>105</v>
      </c>
      <c r="E24" s="3" t="s">
        <v>12</v>
      </c>
      <c r="F24" s="3" t="s">
        <v>13</v>
      </c>
      <c r="G24" s="3" t="s">
        <v>21</v>
      </c>
      <c r="H24" s="3" t="str">
        <f>N24</f>
        <v>2026-01-20</v>
      </c>
      <c r="I24" s="3" t="str">
        <f>C24</f>
        <v>GESTION HUMANA</v>
      </c>
      <c r="J24" s="3" t="str">
        <f>D24</f>
        <v>Marta Rut</v>
      </c>
      <c r="K24" s="3" t="str">
        <f>E24</f>
        <v>ASESORIA Y ASISTENCIA</v>
      </c>
      <c r="L24" s="3" t="str">
        <f>F24</f>
        <v>SOLICITUD VERBAL</v>
      </c>
      <c r="M24" s="3" t="s">
        <v>15</v>
      </c>
      <c r="N24" s="3" t="s">
        <v>107</v>
      </c>
      <c r="O24" s="3" t="s">
        <v>106</v>
      </c>
    </row>
    <row r="25" spans="1:15" s="3" customFormat="1" x14ac:dyDescent="0.25">
      <c r="A25" s="3">
        <v>24</v>
      </c>
      <c r="B25" s="3" t="s">
        <v>108</v>
      </c>
      <c r="C25" s="3" t="s">
        <v>109</v>
      </c>
      <c r="D25" s="3" t="s">
        <v>110</v>
      </c>
      <c r="E25" s="3" t="s">
        <v>12</v>
      </c>
      <c r="F25" s="3" t="s">
        <v>13</v>
      </c>
      <c r="G25" s="3" t="s">
        <v>21</v>
      </c>
      <c r="H25" s="3" t="str">
        <f>N25</f>
        <v>2026-01-20</v>
      </c>
      <c r="I25" s="3" t="str">
        <f>C25</f>
        <v>Subsecretaria de Familia</v>
      </c>
      <c r="J25" s="3" t="str">
        <f>D25</f>
        <v>Maria Cecilia</v>
      </c>
      <c r="K25" s="3" t="str">
        <f>E25</f>
        <v>ASESORIA Y ASISTENCIA</v>
      </c>
      <c r="L25" s="3" t="str">
        <f>F25</f>
        <v>SOLICITUD VERBAL</v>
      </c>
      <c r="M25" s="3" t="s">
        <v>15</v>
      </c>
      <c r="N25" s="3" t="s">
        <v>107</v>
      </c>
      <c r="O25" s="3" t="s">
        <v>111</v>
      </c>
    </row>
    <row r="26" spans="1:15" s="3" customFormat="1" x14ac:dyDescent="0.25">
      <c r="A26" s="3">
        <v>25</v>
      </c>
      <c r="B26" s="3" t="s">
        <v>112</v>
      </c>
      <c r="C26" s="3" t="s">
        <v>20</v>
      </c>
      <c r="D26" s="3" t="s">
        <v>41</v>
      </c>
      <c r="E26" s="3" t="s">
        <v>12</v>
      </c>
      <c r="F26" s="3" t="s">
        <v>113</v>
      </c>
      <c r="G26" s="3" t="s">
        <v>21</v>
      </c>
      <c r="H26" s="3" t="str">
        <f>N26</f>
        <v>2026-01-20</v>
      </c>
      <c r="I26" s="3" t="str">
        <f>C26</f>
        <v>COMUNICACIONES</v>
      </c>
      <c r="J26" s="3" t="str">
        <f>D26</f>
        <v>Olga Mary</v>
      </c>
      <c r="K26" s="3" t="str">
        <f>E26</f>
        <v>ASESORIA Y ASISTENCIA</v>
      </c>
      <c r="L26" s="3" t="str">
        <f>F26</f>
        <v>E-MAIL</v>
      </c>
      <c r="M26" s="3" t="s">
        <v>15</v>
      </c>
      <c r="N26" s="3" t="s">
        <v>107</v>
      </c>
      <c r="O26" s="3" t="s">
        <v>114</v>
      </c>
    </row>
    <row r="27" spans="1:15" x14ac:dyDescent="0.25">
      <c r="A27">
        <v>26</v>
      </c>
      <c r="B27" t="s">
        <v>115</v>
      </c>
      <c r="C27" t="s">
        <v>116</v>
      </c>
      <c r="D27" t="s">
        <v>117</v>
      </c>
      <c r="E27" t="s">
        <v>12</v>
      </c>
      <c r="F27" t="s">
        <v>13</v>
      </c>
      <c r="G27" t="s">
        <v>22</v>
      </c>
      <c r="H27" t="str">
        <f>N27</f>
        <v>2026-01-21</v>
      </c>
      <c r="I27" t="str">
        <f>C27</f>
        <v>EJECUCIONES FISCALES</v>
      </c>
      <c r="J27" t="str">
        <f>D27</f>
        <v>Cristina</v>
      </c>
      <c r="K27" t="str">
        <f>E27</f>
        <v>ASESORIA Y ASISTENCIA</v>
      </c>
      <c r="L27" t="str">
        <f>F27</f>
        <v>SOLICITUD VERBAL</v>
      </c>
      <c r="M27" t="s">
        <v>15</v>
      </c>
      <c r="N27" t="s">
        <v>119</v>
      </c>
      <c r="O27" t="s">
        <v>118</v>
      </c>
    </row>
    <row r="28" spans="1:15" s="3" customFormat="1" x14ac:dyDescent="0.25">
      <c r="A28" s="3">
        <v>27</v>
      </c>
      <c r="B28" s="3" t="s">
        <v>120</v>
      </c>
      <c r="C28" s="3" t="s">
        <v>121</v>
      </c>
      <c r="D28" s="3" t="s">
        <v>122</v>
      </c>
      <c r="E28" s="3" t="s">
        <v>18</v>
      </c>
      <c r="F28" s="3" t="s">
        <v>13</v>
      </c>
      <c r="G28" s="3" t="s">
        <v>21</v>
      </c>
      <c r="H28" s="3" t="str">
        <f>N28</f>
        <v>2026-01-21</v>
      </c>
      <c r="I28" s="3" t="str">
        <f>C28</f>
        <v>DESARROLLO ECONOMICO</v>
      </c>
      <c r="J28" s="3" t="str">
        <f>D28</f>
        <v>Uriel</v>
      </c>
      <c r="K28" s="3" t="str">
        <f>E28</f>
        <v>MANTENIMIENTO CORRECTIVO</v>
      </c>
      <c r="L28" s="3" t="str">
        <f>F28</f>
        <v>SOLICITUD VERBAL</v>
      </c>
      <c r="M28" s="3" t="s">
        <v>15</v>
      </c>
      <c r="N28" s="3" t="s">
        <v>119</v>
      </c>
      <c r="O28" s="3" t="s">
        <v>123</v>
      </c>
    </row>
    <row r="29" spans="1:15" x14ac:dyDescent="0.25">
      <c r="A29">
        <v>28</v>
      </c>
      <c r="B29" t="s">
        <v>124</v>
      </c>
      <c r="C29" t="s">
        <v>121</v>
      </c>
      <c r="D29" t="s">
        <v>122</v>
      </c>
      <c r="E29" t="s">
        <v>26</v>
      </c>
      <c r="F29" t="s">
        <v>13</v>
      </c>
      <c r="G29" t="s">
        <v>14</v>
      </c>
      <c r="H29" t="str">
        <f>N29</f>
        <v>2026-01-21</v>
      </c>
      <c r="I29" t="str">
        <f>C29</f>
        <v>DESARROLLO ECONOMICO</v>
      </c>
      <c r="J29" t="str">
        <f>D29</f>
        <v>Uriel</v>
      </c>
      <c r="K29" t="str">
        <f>E29</f>
        <v>APOYO TECNOLÓGICO</v>
      </c>
      <c r="L29" t="str">
        <f>F29</f>
        <v>SOLICITUD VERBAL</v>
      </c>
      <c r="M29" t="s">
        <v>15</v>
      </c>
      <c r="N29" t="s">
        <v>119</v>
      </c>
      <c r="O29" t="s">
        <v>125</v>
      </c>
    </row>
    <row r="30" spans="1:15" s="3" customFormat="1" x14ac:dyDescent="0.25">
      <c r="A30" s="3">
        <v>29</v>
      </c>
      <c r="B30" s="3" t="s">
        <v>126</v>
      </c>
      <c r="C30" s="3" t="s">
        <v>121</v>
      </c>
      <c r="D30" s="3" t="s">
        <v>127</v>
      </c>
      <c r="E30" s="3" t="s">
        <v>18</v>
      </c>
      <c r="F30" s="3" t="s">
        <v>13</v>
      </c>
      <c r="G30" s="3" t="s">
        <v>21</v>
      </c>
      <c r="H30" s="3" t="str">
        <f>N30</f>
        <v>2026-01-21</v>
      </c>
      <c r="I30" s="3" t="str">
        <f>C30</f>
        <v>DESARROLLO ECONOMICO</v>
      </c>
      <c r="J30" s="3" t="str">
        <f>D30</f>
        <v>Yuli</v>
      </c>
      <c r="K30" s="3" t="str">
        <f>E30</f>
        <v>MANTENIMIENTO CORRECTIVO</v>
      </c>
      <c r="L30" s="3" t="str">
        <f>F30</f>
        <v>SOLICITUD VERBAL</v>
      </c>
      <c r="M30" s="3" t="s">
        <v>15</v>
      </c>
      <c r="N30" s="3" t="s">
        <v>119</v>
      </c>
      <c r="O30" s="3" t="s">
        <v>128</v>
      </c>
    </row>
    <row r="31" spans="1:15" x14ac:dyDescent="0.25">
      <c r="A31">
        <v>30</v>
      </c>
      <c r="B31" t="s">
        <v>129</v>
      </c>
      <c r="C31" t="s">
        <v>121</v>
      </c>
      <c r="D31" t="s">
        <v>127</v>
      </c>
      <c r="E31" t="s">
        <v>26</v>
      </c>
      <c r="F31" t="s">
        <v>13</v>
      </c>
      <c r="G31" t="s">
        <v>14</v>
      </c>
      <c r="H31" t="str">
        <f>N31</f>
        <v>2026-01-21</v>
      </c>
      <c r="I31" t="str">
        <f>C31</f>
        <v>DESARROLLO ECONOMICO</v>
      </c>
      <c r="J31" t="str">
        <f>D31</f>
        <v>Yuli</v>
      </c>
      <c r="K31" t="str">
        <f>E31</f>
        <v>APOYO TECNOLÓGICO</v>
      </c>
      <c r="L31" t="str">
        <f>F31</f>
        <v>SOLICITUD VERBAL</v>
      </c>
      <c r="M31" t="s">
        <v>15</v>
      </c>
      <c r="N31" t="s">
        <v>119</v>
      </c>
      <c r="O31" t="s">
        <v>130</v>
      </c>
    </row>
    <row r="32" spans="1:15" x14ac:dyDescent="0.25">
      <c r="A32">
        <v>31</v>
      </c>
      <c r="B32" t="s">
        <v>131</v>
      </c>
      <c r="C32" t="s">
        <v>121</v>
      </c>
      <c r="D32" t="s">
        <v>122</v>
      </c>
      <c r="E32" t="s">
        <v>12</v>
      </c>
      <c r="F32" t="s">
        <v>13</v>
      </c>
      <c r="G32" t="s">
        <v>27</v>
      </c>
      <c r="H32" t="str">
        <f>N32</f>
        <v>2026-01-21</v>
      </c>
      <c r="I32" t="str">
        <f>C32</f>
        <v>DESARROLLO ECONOMICO</v>
      </c>
      <c r="J32" t="str">
        <f>D32</f>
        <v>Uriel</v>
      </c>
      <c r="K32" t="str">
        <f>E32</f>
        <v>ASESORIA Y ASISTENCIA</v>
      </c>
      <c r="L32" t="str">
        <f>F32</f>
        <v>SOLICITUD VERBAL</v>
      </c>
      <c r="M32" t="s">
        <v>15</v>
      </c>
      <c r="N32" t="s">
        <v>119</v>
      </c>
      <c r="O32" t="s">
        <v>132</v>
      </c>
    </row>
    <row r="33" spans="1:15" x14ac:dyDescent="0.25">
      <c r="A33">
        <v>32</v>
      </c>
      <c r="B33" t="s">
        <v>133</v>
      </c>
      <c r="C33" t="s">
        <v>134</v>
      </c>
      <c r="D33" t="s">
        <v>135</v>
      </c>
      <c r="E33" t="s">
        <v>12</v>
      </c>
      <c r="F33" t="s">
        <v>13</v>
      </c>
      <c r="G33" t="s">
        <v>14</v>
      </c>
      <c r="H33" t="str">
        <f>N33</f>
        <v>2026-01-22</v>
      </c>
      <c r="I33" t="str">
        <f>C33</f>
        <v>TESORERIA</v>
      </c>
      <c r="J33" t="str">
        <f>D33</f>
        <v>Gloria</v>
      </c>
      <c r="K33" t="str">
        <f>E33</f>
        <v>ASESORIA Y ASISTENCIA</v>
      </c>
      <c r="L33" t="str">
        <f>F33</f>
        <v>SOLICITUD VERBAL</v>
      </c>
      <c r="M33" t="s">
        <v>15</v>
      </c>
      <c r="N33" t="s">
        <v>137</v>
      </c>
      <c r="O33" t="s">
        <v>136</v>
      </c>
    </row>
    <row r="34" spans="1:15" s="3" customFormat="1" x14ac:dyDescent="0.25">
      <c r="A34" s="3">
        <v>33</v>
      </c>
      <c r="B34" s="3" t="s">
        <v>138</v>
      </c>
      <c r="C34" s="3" t="s">
        <v>23</v>
      </c>
      <c r="D34" s="3" t="s">
        <v>139</v>
      </c>
      <c r="E34" s="3" t="s">
        <v>12</v>
      </c>
      <c r="F34" s="3" t="s">
        <v>113</v>
      </c>
      <c r="G34" s="3" t="s">
        <v>21</v>
      </c>
      <c r="H34" s="3" t="str">
        <f>N34</f>
        <v>2026-01-22</v>
      </c>
      <c r="I34" s="3" t="str">
        <f>C34</f>
        <v>DEPARTAMENTO GENERAL</v>
      </c>
      <c r="J34" s="3" t="str">
        <f>D34</f>
        <v>Diego</v>
      </c>
      <c r="K34" s="3" t="str">
        <f>E34</f>
        <v>ASESORIA Y ASISTENCIA</v>
      </c>
      <c r="L34" s="3" t="str">
        <f>F34</f>
        <v>E-MAIL</v>
      </c>
      <c r="M34" s="3" t="s">
        <v>15</v>
      </c>
      <c r="N34" s="3" t="s">
        <v>137</v>
      </c>
      <c r="O34" s="3" t="s">
        <v>140</v>
      </c>
    </row>
    <row r="35" spans="1:15" x14ac:dyDescent="0.25">
      <c r="A35">
        <v>34</v>
      </c>
      <c r="B35" t="s">
        <v>141</v>
      </c>
      <c r="C35" t="s">
        <v>142</v>
      </c>
      <c r="D35" t="s">
        <v>143</v>
      </c>
      <c r="E35" t="s">
        <v>18</v>
      </c>
      <c r="F35" t="s">
        <v>13</v>
      </c>
      <c r="G35" t="s">
        <v>14</v>
      </c>
      <c r="H35" t="str">
        <f>N35</f>
        <v>2026-01-22</v>
      </c>
      <c r="I35" t="str">
        <f>C35</f>
        <v>ALMACEN MUNICIPAL</v>
      </c>
      <c r="J35" t="str">
        <f>D35</f>
        <v>Carolina</v>
      </c>
      <c r="K35" t="str">
        <f>E35</f>
        <v>MANTENIMIENTO CORRECTIVO</v>
      </c>
      <c r="L35" t="str">
        <f>F35</f>
        <v>SOLICITUD VERBAL</v>
      </c>
      <c r="M35" t="s">
        <v>15</v>
      </c>
      <c r="N35" t="s">
        <v>137</v>
      </c>
      <c r="O35" t="s">
        <v>144</v>
      </c>
    </row>
    <row r="36" spans="1:15" x14ac:dyDescent="0.25">
      <c r="A36">
        <v>35</v>
      </c>
      <c r="B36" t="s">
        <v>145</v>
      </c>
      <c r="C36" t="s">
        <v>142</v>
      </c>
      <c r="D36" t="s">
        <v>146</v>
      </c>
      <c r="E36" t="s">
        <v>18</v>
      </c>
      <c r="F36" t="s">
        <v>13</v>
      </c>
      <c r="G36" t="s">
        <v>14</v>
      </c>
      <c r="H36" t="str">
        <f>N36</f>
        <v>2026-01-23</v>
      </c>
      <c r="I36" t="str">
        <f>C36</f>
        <v>ALMACEN MUNICIPAL</v>
      </c>
      <c r="J36" t="str">
        <f>D36</f>
        <v>Natalia</v>
      </c>
      <c r="K36" t="str">
        <f>E36</f>
        <v>MANTENIMIENTO CORRECTIVO</v>
      </c>
      <c r="L36" t="str">
        <f>F36</f>
        <v>SOLICITUD VERBAL</v>
      </c>
      <c r="M36" t="s">
        <v>15</v>
      </c>
      <c r="N36" t="s">
        <v>147</v>
      </c>
      <c r="O36" t="s">
        <v>144</v>
      </c>
    </row>
    <row r="37" spans="1:15" x14ac:dyDescent="0.25">
      <c r="A37">
        <v>36</v>
      </c>
      <c r="B37" t="s">
        <v>148</v>
      </c>
      <c r="C37" t="s">
        <v>142</v>
      </c>
      <c r="D37" t="s">
        <v>149</v>
      </c>
      <c r="E37" t="s">
        <v>18</v>
      </c>
      <c r="F37" t="s">
        <v>13</v>
      </c>
      <c r="G37" t="s">
        <v>14</v>
      </c>
      <c r="H37" t="str">
        <f>N37</f>
        <v>2026-01-23</v>
      </c>
      <c r="I37" t="str">
        <f>C37</f>
        <v>ALMACEN MUNICIPAL</v>
      </c>
      <c r="J37" t="str">
        <f>D37</f>
        <v>Camila</v>
      </c>
      <c r="K37" t="str">
        <f>E37</f>
        <v>MANTENIMIENTO CORRECTIVO</v>
      </c>
      <c r="L37" t="str">
        <f>F37</f>
        <v>SOLICITUD VERBAL</v>
      </c>
      <c r="M37" t="s">
        <v>15</v>
      </c>
      <c r="N37" t="s">
        <v>147</v>
      </c>
      <c r="O37" t="s">
        <v>144</v>
      </c>
    </row>
    <row r="38" spans="1:15" x14ac:dyDescent="0.25">
      <c r="A38">
        <v>37</v>
      </c>
      <c r="B38" t="s">
        <v>150</v>
      </c>
      <c r="C38" t="s">
        <v>28</v>
      </c>
      <c r="D38" t="s">
        <v>151</v>
      </c>
      <c r="E38" t="s">
        <v>18</v>
      </c>
      <c r="F38" t="s">
        <v>13</v>
      </c>
      <c r="G38" t="s">
        <v>14</v>
      </c>
      <c r="H38" t="str">
        <f>N38</f>
        <v>2026-01-23</v>
      </c>
      <c r="I38" t="str">
        <f>C38</f>
        <v>GESTION HUMANA</v>
      </c>
      <c r="J38" t="str">
        <f>D38</f>
        <v>Lorena</v>
      </c>
      <c r="K38" t="str">
        <f>E38</f>
        <v>MANTENIMIENTO CORRECTIVO</v>
      </c>
      <c r="L38" t="str">
        <f>F38</f>
        <v>SOLICITUD VERBAL</v>
      </c>
      <c r="M38" t="s">
        <v>15</v>
      </c>
      <c r="N38" t="s">
        <v>147</v>
      </c>
      <c r="O38" t="s">
        <v>144</v>
      </c>
    </row>
    <row r="39" spans="1:15" x14ac:dyDescent="0.25">
      <c r="A39">
        <v>38</v>
      </c>
      <c r="B39" t="s">
        <v>152</v>
      </c>
      <c r="C39" t="s">
        <v>28</v>
      </c>
      <c r="D39" t="s">
        <v>153</v>
      </c>
      <c r="E39" t="s">
        <v>18</v>
      </c>
      <c r="F39" t="s">
        <v>13</v>
      </c>
      <c r="G39" t="s">
        <v>14</v>
      </c>
      <c r="H39" t="str">
        <f>N39</f>
        <v>2026-01-23</v>
      </c>
      <c r="I39" t="str">
        <f>C39</f>
        <v>GESTION HUMANA</v>
      </c>
      <c r="J39" t="str">
        <f>D39</f>
        <v>Hugo</v>
      </c>
      <c r="K39" t="str">
        <f>E39</f>
        <v>MANTENIMIENTO CORRECTIVO</v>
      </c>
      <c r="L39" t="str">
        <f>F39</f>
        <v>SOLICITUD VERBAL</v>
      </c>
      <c r="M39" t="s">
        <v>15</v>
      </c>
      <c r="N39" t="s">
        <v>147</v>
      </c>
      <c r="O39" t="s">
        <v>144</v>
      </c>
    </row>
    <row r="40" spans="1:15" x14ac:dyDescent="0.25">
      <c r="A40">
        <v>39</v>
      </c>
      <c r="B40" t="s">
        <v>154</v>
      </c>
      <c r="C40" t="s">
        <v>109</v>
      </c>
      <c r="D40" t="s">
        <v>155</v>
      </c>
      <c r="E40" t="s">
        <v>156</v>
      </c>
      <c r="F40" t="s">
        <v>113</v>
      </c>
      <c r="G40" t="s">
        <v>22</v>
      </c>
      <c r="H40" t="str">
        <f>N40</f>
        <v>2026-01-26</v>
      </c>
      <c r="I40" t="str">
        <f>C40</f>
        <v>Subsecretaria de Familia</v>
      </c>
      <c r="J40" t="str">
        <f>D40</f>
        <v>Luis Alejandro Agudelo Lopez</v>
      </c>
      <c r="K40" t="str">
        <f>E40</f>
        <v>INSTALACIONES NUEVAS</v>
      </c>
      <c r="L40" t="str">
        <f>F40</f>
        <v>E-MAIL</v>
      </c>
      <c r="M40" t="s">
        <v>15</v>
      </c>
      <c r="N40" t="s">
        <v>158</v>
      </c>
      <c r="O40" t="s">
        <v>157</v>
      </c>
    </row>
    <row r="41" spans="1:15" x14ac:dyDescent="0.25">
      <c r="A41">
        <v>40</v>
      </c>
      <c r="B41" t="s">
        <v>159</v>
      </c>
      <c r="C41" t="s">
        <v>160</v>
      </c>
      <c r="D41" t="s">
        <v>161</v>
      </c>
      <c r="E41" t="s">
        <v>12</v>
      </c>
      <c r="F41" t="s">
        <v>13</v>
      </c>
      <c r="G41" t="s">
        <v>75</v>
      </c>
      <c r="H41" t="str">
        <f>N41</f>
        <v>2026-01-26</v>
      </c>
      <c r="I41" t="str">
        <f>C41</f>
        <v>Subsecretaria de Movilidad</v>
      </c>
      <c r="J41" t="str">
        <f>D41</f>
        <v>Paula</v>
      </c>
      <c r="K41" t="str">
        <f>E41</f>
        <v>ASESORIA Y ASISTENCIA</v>
      </c>
      <c r="L41" t="str">
        <f>F41</f>
        <v>SOLICITUD VERBAL</v>
      </c>
      <c r="M41" t="s">
        <v>15</v>
      </c>
      <c r="N41" t="s">
        <v>158</v>
      </c>
      <c r="O41" t="s">
        <v>162</v>
      </c>
    </row>
    <row r="42" spans="1:15" x14ac:dyDescent="0.25">
      <c r="A42">
        <v>41</v>
      </c>
      <c r="B42" t="s">
        <v>163</v>
      </c>
      <c r="C42" t="s">
        <v>84</v>
      </c>
      <c r="D42" t="s">
        <v>164</v>
      </c>
      <c r="E42" t="s">
        <v>18</v>
      </c>
      <c r="F42" t="s">
        <v>13</v>
      </c>
      <c r="G42" t="s">
        <v>14</v>
      </c>
      <c r="H42" t="str">
        <f>N42</f>
        <v>2026-01-26</v>
      </c>
      <c r="I42" t="str">
        <f>C42</f>
        <v>PLANEACIÓN</v>
      </c>
      <c r="J42" t="str">
        <f>D42</f>
        <v>Santiago</v>
      </c>
      <c r="K42" t="str">
        <f>E42</f>
        <v>MANTENIMIENTO CORRECTIVO</v>
      </c>
      <c r="L42" t="str">
        <f>F42</f>
        <v>SOLICITUD VERBAL</v>
      </c>
      <c r="M42" t="s">
        <v>15</v>
      </c>
      <c r="N42" t="s">
        <v>158</v>
      </c>
      <c r="O42" t="s">
        <v>165</v>
      </c>
    </row>
    <row r="43" spans="1:15" x14ac:dyDescent="0.25">
      <c r="A43">
        <v>42</v>
      </c>
      <c r="B43" t="s">
        <v>166</v>
      </c>
      <c r="C43" t="s">
        <v>121</v>
      </c>
      <c r="D43" t="s">
        <v>122</v>
      </c>
      <c r="E43" t="s">
        <v>18</v>
      </c>
      <c r="F43" t="s">
        <v>13</v>
      </c>
      <c r="G43" t="s">
        <v>22</v>
      </c>
      <c r="H43" t="str">
        <f>N43</f>
        <v>2026-01-27</v>
      </c>
      <c r="I43" t="str">
        <f>C43</f>
        <v>DESARROLLO ECONOMICO</v>
      </c>
      <c r="J43" t="str">
        <f>D43</f>
        <v>Uriel</v>
      </c>
      <c r="K43" t="str">
        <f>E43</f>
        <v>MANTENIMIENTO CORRECTIVO</v>
      </c>
      <c r="L43" t="str">
        <f>F43</f>
        <v>SOLICITUD VERBAL</v>
      </c>
      <c r="M43" t="s">
        <v>15</v>
      </c>
      <c r="N43" t="s">
        <v>168</v>
      </c>
      <c r="O43" t="s">
        <v>167</v>
      </c>
    </row>
    <row r="44" spans="1:15" x14ac:dyDescent="0.25">
      <c r="A44">
        <v>43</v>
      </c>
      <c r="B44" t="s">
        <v>169</v>
      </c>
      <c r="C44" t="s">
        <v>170</v>
      </c>
      <c r="D44" t="s">
        <v>171</v>
      </c>
      <c r="E44" t="s">
        <v>18</v>
      </c>
      <c r="F44" t="s">
        <v>19</v>
      </c>
      <c r="G44" t="s">
        <v>14</v>
      </c>
      <c r="H44" t="str">
        <f>N44</f>
        <v>2026-01-27</v>
      </c>
      <c r="I44" t="str">
        <f>C44</f>
        <v>CATASTRO</v>
      </c>
      <c r="J44" t="str">
        <f>D44</f>
        <v>Susana</v>
      </c>
      <c r="K44" t="str">
        <f>E44</f>
        <v>MANTENIMIENTO CORRECTIVO</v>
      </c>
      <c r="L44" t="str">
        <f>F44</f>
        <v>LLAMADA TELEFONICA</v>
      </c>
      <c r="M44" t="s">
        <v>15</v>
      </c>
      <c r="N44" t="s">
        <v>168</v>
      </c>
      <c r="O44" t="s">
        <v>172</v>
      </c>
    </row>
    <row r="45" spans="1:15" x14ac:dyDescent="0.25">
      <c r="A45">
        <v>44</v>
      </c>
      <c r="B45" t="s">
        <v>173</v>
      </c>
      <c r="C45" t="s">
        <v>174</v>
      </c>
      <c r="D45" t="s">
        <v>175</v>
      </c>
      <c r="E45" t="s">
        <v>18</v>
      </c>
      <c r="F45" t="s">
        <v>19</v>
      </c>
      <c r="G45" t="s">
        <v>14</v>
      </c>
      <c r="H45" t="str">
        <f>N45</f>
        <v>2026-01-27</v>
      </c>
      <c r="I45" t="str">
        <f>C45</f>
        <v>CONTRATACION</v>
      </c>
      <c r="J45" t="str">
        <f>D45</f>
        <v>Andres</v>
      </c>
      <c r="K45" t="str">
        <f>E45</f>
        <v>MANTENIMIENTO CORRECTIVO</v>
      </c>
      <c r="L45" t="str">
        <f>F45</f>
        <v>LLAMADA TELEFONICA</v>
      </c>
      <c r="M45" t="s">
        <v>15</v>
      </c>
      <c r="N45" t="s">
        <v>168</v>
      </c>
      <c r="O45" t="s">
        <v>176</v>
      </c>
    </row>
    <row r="46" spans="1:15" x14ac:dyDescent="0.25">
      <c r="A46">
        <v>45</v>
      </c>
      <c r="B46" t="s">
        <v>177</v>
      </c>
      <c r="C46" t="s">
        <v>24</v>
      </c>
      <c r="D46" t="s">
        <v>25</v>
      </c>
      <c r="E46" t="s">
        <v>12</v>
      </c>
      <c r="F46" t="s">
        <v>13</v>
      </c>
      <c r="G46" t="s">
        <v>94</v>
      </c>
      <c r="H46" t="str">
        <f>N46</f>
        <v>2026-01-27</v>
      </c>
      <c r="I46" t="str">
        <f>C46</f>
        <v>OFICINA DE SISTEMAS</v>
      </c>
      <c r="J46" t="str">
        <f>D46</f>
        <v>Felipe</v>
      </c>
      <c r="K46" t="str">
        <f>E46</f>
        <v>ASESORIA Y ASISTENCIA</v>
      </c>
      <c r="L46" t="str">
        <f>F46</f>
        <v>SOLICITUD VERBAL</v>
      </c>
      <c r="M46" t="s">
        <v>15</v>
      </c>
      <c r="N46" t="s">
        <v>168</v>
      </c>
      <c r="O46" t="s">
        <v>178</v>
      </c>
    </row>
    <row r="47" spans="1:15" x14ac:dyDescent="0.25">
      <c r="A47">
        <v>46</v>
      </c>
      <c r="B47" t="s">
        <v>179</v>
      </c>
      <c r="C47" t="s">
        <v>109</v>
      </c>
      <c r="D47" t="s">
        <v>155</v>
      </c>
      <c r="E47" t="s">
        <v>26</v>
      </c>
      <c r="F47" t="s">
        <v>113</v>
      </c>
      <c r="G47" t="s">
        <v>22</v>
      </c>
      <c r="H47" t="str">
        <f>N47</f>
        <v>2026-01-27</v>
      </c>
      <c r="I47" t="str">
        <f>C47</f>
        <v>Subsecretaria de Familia</v>
      </c>
      <c r="J47" t="str">
        <f>D47</f>
        <v>Luis Alejandro Agudelo Lopez</v>
      </c>
      <c r="K47" t="str">
        <f>E47</f>
        <v>APOYO TECNOLÓGICO</v>
      </c>
      <c r="L47" t="str">
        <f>F47</f>
        <v>E-MAIL</v>
      </c>
      <c r="M47" t="s">
        <v>15</v>
      </c>
      <c r="N47" t="s">
        <v>168</v>
      </c>
      <c r="O47" t="s">
        <v>157</v>
      </c>
    </row>
    <row r="48" spans="1:15" x14ac:dyDescent="0.25">
      <c r="A48">
        <v>47</v>
      </c>
      <c r="B48" t="s">
        <v>180</v>
      </c>
      <c r="C48" t="s">
        <v>109</v>
      </c>
      <c r="D48" t="s">
        <v>155</v>
      </c>
      <c r="E48" t="s">
        <v>26</v>
      </c>
      <c r="F48" t="s">
        <v>113</v>
      </c>
      <c r="G48" t="s">
        <v>94</v>
      </c>
      <c r="H48" t="str">
        <f>N48</f>
        <v>2026-01-27</v>
      </c>
      <c r="I48" t="str">
        <f>C48</f>
        <v>Subsecretaria de Familia</v>
      </c>
      <c r="J48" t="str">
        <f>D48</f>
        <v>Luis Alejandro Agudelo Lopez</v>
      </c>
      <c r="K48" t="str">
        <f>E48</f>
        <v>APOYO TECNOLÓGICO</v>
      </c>
      <c r="L48" t="str">
        <f>F48</f>
        <v>E-MAIL</v>
      </c>
      <c r="M48" t="s">
        <v>15</v>
      </c>
      <c r="N48" t="s">
        <v>168</v>
      </c>
      <c r="O48" t="s">
        <v>157</v>
      </c>
    </row>
    <row r="49" spans="1:15" x14ac:dyDescent="0.25">
      <c r="A49">
        <v>48</v>
      </c>
      <c r="B49" t="s">
        <v>181</v>
      </c>
      <c r="C49" t="s">
        <v>24</v>
      </c>
      <c r="D49" t="s">
        <v>182</v>
      </c>
      <c r="E49" t="s">
        <v>12</v>
      </c>
      <c r="F49" t="s">
        <v>13</v>
      </c>
      <c r="G49" t="s">
        <v>14</v>
      </c>
      <c r="H49" t="str">
        <f>N49</f>
        <v>2026-01-28</v>
      </c>
      <c r="I49" t="str">
        <f>C49</f>
        <v>OFICINA DE SISTEMAS</v>
      </c>
      <c r="J49" t="str">
        <f>D49</f>
        <v>Gustavo</v>
      </c>
      <c r="K49" t="str">
        <f>E49</f>
        <v>ASESORIA Y ASISTENCIA</v>
      </c>
      <c r="L49" t="str">
        <f>F49</f>
        <v>SOLICITUD VERBAL</v>
      </c>
      <c r="M49" t="s">
        <v>15</v>
      </c>
      <c r="N49" t="s">
        <v>184</v>
      </c>
      <c r="O49" t="s">
        <v>183</v>
      </c>
    </row>
    <row r="50" spans="1:15" x14ac:dyDescent="0.25">
      <c r="A50">
        <v>49</v>
      </c>
      <c r="B50" t="s">
        <v>185</v>
      </c>
      <c r="C50" t="s">
        <v>69</v>
      </c>
      <c r="D50" t="s">
        <v>186</v>
      </c>
      <c r="E50" t="s">
        <v>18</v>
      </c>
      <c r="F50" t="s">
        <v>19</v>
      </c>
      <c r="G50" t="s">
        <v>14</v>
      </c>
      <c r="H50" t="str">
        <f>N50</f>
        <v>2026-01-28</v>
      </c>
      <c r="I50" t="str">
        <f>C50</f>
        <v>DESARROLLO COMUNITARIO</v>
      </c>
      <c r="J50" t="str">
        <f>D50</f>
        <v>Ulises</v>
      </c>
      <c r="K50" t="str">
        <f>E50</f>
        <v>MANTENIMIENTO CORRECTIVO</v>
      </c>
      <c r="L50" t="str">
        <f>F50</f>
        <v>LLAMADA TELEFONICA</v>
      </c>
      <c r="M50" t="s">
        <v>15</v>
      </c>
      <c r="N50" t="s">
        <v>184</v>
      </c>
      <c r="O50" t="s">
        <v>187</v>
      </c>
    </row>
    <row r="51" spans="1:15" x14ac:dyDescent="0.25">
      <c r="A51">
        <v>50</v>
      </c>
      <c r="B51" t="s">
        <v>188</v>
      </c>
      <c r="C51" t="s">
        <v>189</v>
      </c>
      <c r="D51" t="s">
        <v>70</v>
      </c>
      <c r="E51" t="s">
        <v>18</v>
      </c>
      <c r="F51" t="s">
        <v>13</v>
      </c>
      <c r="G51" t="s">
        <v>14</v>
      </c>
      <c r="H51" t="str">
        <f>N51</f>
        <v>2026-01-28</v>
      </c>
      <c r="I51" t="str">
        <f>C51</f>
        <v>Subsecretaria de Medioambiente</v>
      </c>
      <c r="J51" t="str">
        <f>D51</f>
        <v>Ana</v>
      </c>
      <c r="K51" t="str">
        <f>E51</f>
        <v>MANTENIMIENTO CORRECTIVO</v>
      </c>
      <c r="L51" t="str">
        <f>F51</f>
        <v>SOLICITUD VERBAL</v>
      </c>
      <c r="M51" t="s">
        <v>15</v>
      </c>
      <c r="N51" t="s">
        <v>184</v>
      </c>
      <c r="O51" t="s">
        <v>187</v>
      </c>
    </row>
    <row r="52" spans="1:15" x14ac:dyDescent="0.25">
      <c r="A52">
        <v>51</v>
      </c>
      <c r="B52" t="s">
        <v>190</v>
      </c>
      <c r="C52" t="s">
        <v>189</v>
      </c>
      <c r="D52" t="s">
        <v>78</v>
      </c>
      <c r="E52" t="s">
        <v>18</v>
      </c>
      <c r="F52" t="s">
        <v>13</v>
      </c>
      <c r="G52" t="s">
        <v>14</v>
      </c>
      <c r="H52" t="str">
        <f>N52</f>
        <v>2026-01-28</v>
      </c>
      <c r="I52" t="str">
        <f>C52</f>
        <v>Subsecretaria de Medioambiente</v>
      </c>
      <c r="J52" t="str">
        <f>D52</f>
        <v>Melida</v>
      </c>
      <c r="K52" t="str">
        <f>E52</f>
        <v>MANTENIMIENTO CORRECTIVO</v>
      </c>
      <c r="L52" t="str">
        <f>F52</f>
        <v>SOLICITUD VERBAL</v>
      </c>
      <c r="M52" t="s">
        <v>15</v>
      </c>
      <c r="N52" t="s">
        <v>184</v>
      </c>
      <c r="O52" t="s">
        <v>187</v>
      </c>
    </row>
    <row r="53" spans="1:15" s="3" customFormat="1" x14ac:dyDescent="0.25">
      <c r="A53" s="3">
        <v>52</v>
      </c>
      <c r="B53" s="3" t="s">
        <v>191</v>
      </c>
      <c r="C53" s="3" t="s">
        <v>121</v>
      </c>
      <c r="D53" s="3" t="s">
        <v>192</v>
      </c>
      <c r="E53" s="3" t="s">
        <v>26</v>
      </c>
      <c r="F53" s="3" t="s">
        <v>19</v>
      </c>
      <c r="G53" s="3" t="s">
        <v>21</v>
      </c>
      <c r="H53" s="3" t="str">
        <f>N53</f>
        <v>2026-01-28</v>
      </c>
      <c r="I53" s="3" t="str">
        <f>C53</f>
        <v>DESARROLLO ECONOMICO</v>
      </c>
      <c r="J53" s="3" t="str">
        <f>D53</f>
        <v>Yuliana</v>
      </c>
      <c r="K53" s="3" t="str">
        <f>E53</f>
        <v>APOYO TECNOLÓGICO</v>
      </c>
      <c r="L53" s="3" t="str">
        <f>F53</f>
        <v>LLAMADA TELEFONICA</v>
      </c>
      <c r="M53" s="3" t="s">
        <v>15</v>
      </c>
      <c r="N53" s="3" t="s">
        <v>184</v>
      </c>
      <c r="O53" s="3" t="s">
        <v>193</v>
      </c>
    </row>
    <row r="54" spans="1:15" x14ac:dyDescent="0.25">
      <c r="A54">
        <v>53</v>
      </c>
      <c r="B54" t="s">
        <v>194</v>
      </c>
      <c r="C54" t="s">
        <v>121</v>
      </c>
      <c r="D54" t="s">
        <v>122</v>
      </c>
      <c r="E54" t="s">
        <v>12</v>
      </c>
      <c r="F54" t="s">
        <v>13</v>
      </c>
      <c r="G54" t="s">
        <v>27</v>
      </c>
      <c r="H54" t="str">
        <f>N54</f>
        <v>2026-01-28</v>
      </c>
      <c r="I54" t="str">
        <f>C54</f>
        <v>DESARROLLO ECONOMICO</v>
      </c>
      <c r="J54" t="str">
        <f>D54</f>
        <v>Uriel</v>
      </c>
      <c r="K54" t="str">
        <f>E54</f>
        <v>ASESORIA Y ASISTENCIA</v>
      </c>
      <c r="L54" t="str">
        <f>F54</f>
        <v>SOLICITUD VERBAL</v>
      </c>
      <c r="M54" t="s">
        <v>15</v>
      </c>
      <c r="N54" t="s">
        <v>184</v>
      </c>
      <c r="O54" t="s">
        <v>195</v>
      </c>
    </row>
    <row r="55" spans="1:15" x14ac:dyDescent="0.25">
      <c r="A55">
        <v>54</v>
      </c>
      <c r="B55" t="s">
        <v>196</v>
      </c>
      <c r="C55" t="s">
        <v>121</v>
      </c>
      <c r="D55" t="s">
        <v>122</v>
      </c>
      <c r="E55" t="s">
        <v>12</v>
      </c>
      <c r="F55" t="s">
        <v>13</v>
      </c>
      <c r="G55" t="s">
        <v>94</v>
      </c>
      <c r="H55" t="str">
        <f>N55</f>
        <v>2026-01-28</v>
      </c>
      <c r="I55" t="str">
        <f>C55</f>
        <v>DESARROLLO ECONOMICO</v>
      </c>
      <c r="J55" t="str">
        <f>D55</f>
        <v>Uriel</v>
      </c>
      <c r="K55" t="str">
        <f>E55</f>
        <v>ASESORIA Y ASISTENCIA</v>
      </c>
      <c r="L55" t="str">
        <f>F55</f>
        <v>SOLICITUD VERBAL</v>
      </c>
      <c r="M55" t="s">
        <v>15</v>
      </c>
      <c r="N55" t="s">
        <v>184</v>
      </c>
      <c r="O55" t="s">
        <v>195</v>
      </c>
    </row>
    <row r="56" spans="1:15" s="3" customFormat="1" x14ac:dyDescent="0.25">
      <c r="A56" s="3">
        <v>55</v>
      </c>
      <c r="B56" s="3" t="s">
        <v>197</v>
      </c>
      <c r="C56" s="3" t="s">
        <v>121</v>
      </c>
      <c r="D56" s="3" t="s">
        <v>122</v>
      </c>
      <c r="E56" s="3" t="s">
        <v>12</v>
      </c>
      <c r="F56" s="3" t="s">
        <v>13</v>
      </c>
      <c r="G56" s="3" t="s">
        <v>21</v>
      </c>
      <c r="H56" s="3" t="str">
        <f>N56</f>
        <v>2026-01-28</v>
      </c>
      <c r="I56" s="3" t="str">
        <f>C56</f>
        <v>DESARROLLO ECONOMICO</v>
      </c>
      <c r="J56" s="3" t="str">
        <f>D56</f>
        <v>Uriel</v>
      </c>
      <c r="K56" s="3" t="str">
        <f>E56</f>
        <v>ASESORIA Y ASISTENCIA</v>
      </c>
      <c r="L56" s="3" t="str">
        <f>F56</f>
        <v>SOLICITUD VERBAL</v>
      </c>
      <c r="M56" s="3" t="s">
        <v>15</v>
      </c>
      <c r="N56" s="3" t="s">
        <v>184</v>
      </c>
      <c r="O56" s="3" t="s">
        <v>198</v>
      </c>
    </row>
    <row r="57" spans="1:15" s="3" customFormat="1" x14ac:dyDescent="0.25">
      <c r="A57" s="3">
        <v>56</v>
      </c>
      <c r="B57" s="3" t="s">
        <v>199</v>
      </c>
      <c r="C57" s="3" t="s">
        <v>121</v>
      </c>
      <c r="D57" s="3" t="s">
        <v>122</v>
      </c>
      <c r="E57" s="3" t="s">
        <v>12</v>
      </c>
      <c r="F57" s="3" t="s">
        <v>13</v>
      </c>
      <c r="G57" s="3" t="s">
        <v>21</v>
      </c>
      <c r="H57" s="3" t="str">
        <f>N57</f>
        <v>2026-01-28</v>
      </c>
      <c r="I57" s="3" t="str">
        <f>C57</f>
        <v>DESARROLLO ECONOMICO</v>
      </c>
      <c r="J57" s="3" t="str">
        <f>D57</f>
        <v>Uriel</v>
      </c>
      <c r="K57" s="3" t="str">
        <f>E57</f>
        <v>ASESORIA Y ASISTENCIA</v>
      </c>
      <c r="L57" s="3" t="str">
        <f>F57</f>
        <v>SOLICITUD VERBAL</v>
      </c>
      <c r="M57" s="3" t="s">
        <v>15</v>
      </c>
      <c r="N57" s="3" t="s">
        <v>184</v>
      </c>
      <c r="O57" s="3" t="s">
        <v>198</v>
      </c>
    </row>
    <row r="58" spans="1:15" s="3" customFormat="1" x14ac:dyDescent="0.25">
      <c r="A58" s="3">
        <v>57</v>
      </c>
      <c r="B58" s="3" t="s">
        <v>200</v>
      </c>
      <c r="C58" s="3" t="s">
        <v>20</v>
      </c>
      <c r="D58" s="3" t="s">
        <v>201</v>
      </c>
      <c r="E58" s="3" t="s">
        <v>18</v>
      </c>
      <c r="F58" s="3" t="s">
        <v>13</v>
      </c>
      <c r="G58" s="3" t="s">
        <v>21</v>
      </c>
      <c r="H58" s="3" t="str">
        <f>N58</f>
        <v>2026-01-28</v>
      </c>
      <c r="I58" s="3" t="str">
        <f>C58</f>
        <v>COMUNICACIONES</v>
      </c>
      <c r="J58" s="3" t="str">
        <f>D58</f>
        <v>Valentina Galvis</v>
      </c>
      <c r="K58" s="3" t="str">
        <f>E58</f>
        <v>MANTENIMIENTO CORRECTIVO</v>
      </c>
      <c r="L58" s="3" t="str">
        <f>F58</f>
        <v>SOLICITUD VERBAL</v>
      </c>
      <c r="M58" s="3" t="s">
        <v>15</v>
      </c>
      <c r="N58" s="3" t="s">
        <v>184</v>
      </c>
      <c r="O58" s="3" t="s">
        <v>202</v>
      </c>
    </row>
    <row r="59" spans="1:15" s="3" customFormat="1" x14ac:dyDescent="0.25">
      <c r="A59" s="3">
        <v>58</v>
      </c>
      <c r="B59" s="3" t="s">
        <v>203</v>
      </c>
      <c r="C59" s="3" t="s">
        <v>30</v>
      </c>
      <c r="D59" s="3" t="s">
        <v>204</v>
      </c>
      <c r="E59" s="3" t="s">
        <v>12</v>
      </c>
      <c r="F59" s="3" t="s">
        <v>13</v>
      </c>
      <c r="G59" s="3" t="s">
        <v>21</v>
      </c>
      <c r="H59" s="3" t="str">
        <f>N59</f>
        <v>2026-01-29</v>
      </c>
      <c r="I59" s="3" t="str">
        <f>C59</f>
        <v>SALUD Y PROTECCION</v>
      </c>
      <c r="J59" s="3" t="str">
        <f>D59</f>
        <v>Yaisson</v>
      </c>
      <c r="K59" s="3" t="str">
        <f>E59</f>
        <v>ASESORIA Y ASISTENCIA</v>
      </c>
      <c r="L59" s="3" t="str">
        <f>F59</f>
        <v>SOLICITUD VERBAL</v>
      </c>
      <c r="M59" s="3" t="s">
        <v>15</v>
      </c>
      <c r="N59" s="3" t="s">
        <v>206</v>
      </c>
      <c r="O59" s="3" t="s">
        <v>205</v>
      </c>
    </row>
    <row r="60" spans="1:15" s="3" customFormat="1" x14ac:dyDescent="0.25">
      <c r="A60" s="3">
        <v>59</v>
      </c>
      <c r="B60" s="3" t="s">
        <v>207</v>
      </c>
      <c r="C60" s="3" t="s">
        <v>208</v>
      </c>
      <c r="D60" s="3" t="s">
        <v>209</v>
      </c>
      <c r="E60" s="3" t="s">
        <v>12</v>
      </c>
      <c r="F60" s="3" t="s">
        <v>19</v>
      </c>
      <c r="G60" s="3" t="s">
        <v>21</v>
      </c>
      <c r="H60" s="3" t="str">
        <f>N60</f>
        <v>2026-01-29</v>
      </c>
      <c r="I60" s="3" t="str">
        <f>C60</f>
        <v>HACIENDA</v>
      </c>
      <c r="J60" s="3" t="str">
        <f>D60</f>
        <v>Flor Montoya</v>
      </c>
      <c r="K60" s="3" t="str">
        <f>E60</f>
        <v>ASESORIA Y ASISTENCIA</v>
      </c>
      <c r="L60" s="3" t="str">
        <f>F60</f>
        <v>LLAMADA TELEFONICA</v>
      </c>
      <c r="M60" s="3" t="s">
        <v>15</v>
      </c>
      <c r="N60" s="3" t="s">
        <v>206</v>
      </c>
      <c r="O60" s="3" t="s">
        <v>205</v>
      </c>
    </row>
    <row r="61" spans="1:15" s="3" customFormat="1" x14ac:dyDescent="0.25">
      <c r="A61" s="3">
        <v>60</v>
      </c>
      <c r="B61" s="3" t="s">
        <v>210</v>
      </c>
      <c r="C61" s="3" t="s">
        <v>109</v>
      </c>
      <c r="D61" s="3" t="s">
        <v>211</v>
      </c>
      <c r="E61" s="3" t="s">
        <v>12</v>
      </c>
      <c r="F61" s="3" t="s">
        <v>113</v>
      </c>
      <c r="G61" s="3" t="s">
        <v>21</v>
      </c>
      <c r="H61" s="3" t="str">
        <f>N61</f>
        <v>2026-01-30</v>
      </c>
      <c r="I61" s="3" t="str">
        <f>C61</f>
        <v>Subsecretaria de Familia</v>
      </c>
      <c r="J61" s="3" t="str">
        <f>D61</f>
        <v>Luis Alejandro</v>
      </c>
      <c r="K61" s="3" t="str">
        <f>E61</f>
        <v>ASESORIA Y ASISTENCIA</v>
      </c>
      <c r="L61" s="3" t="str">
        <f>F61</f>
        <v>E-MAIL</v>
      </c>
      <c r="M61" s="3" t="s">
        <v>15</v>
      </c>
      <c r="N61" s="3" t="s">
        <v>213</v>
      </c>
      <c r="O61" s="3" t="s">
        <v>212</v>
      </c>
    </row>
    <row r="62" spans="1:15" s="3" customFormat="1" x14ac:dyDescent="0.25">
      <c r="A62" s="3">
        <v>61</v>
      </c>
      <c r="B62" s="3" t="s">
        <v>214</v>
      </c>
      <c r="C62" s="3" t="s">
        <v>24</v>
      </c>
      <c r="D62" s="3" t="s">
        <v>51</v>
      </c>
      <c r="E62" s="3" t="s">
        <v>26</v>
      </c>
      <c r="F62" s="3" t="s">
        <v>13</v>
      </c>
      <c r="G62" s="3" t="s">
        <v>21</v>
      </c>
      <c r="H62" s="3" t="str">
        <f>N62</f>
        <v>2026-01-30</v>
      </c>
      <c r="I62" s="3" t="str">
        <f>C62</f>
        <v>OFICINA DE SISTEMAS</v>
      </c>
      <c r="J62" s="3" t="str">
        <f>D62</f>
        <v>Mario Henao</v>
      </c>
      <c r="K62" s="3" t="str">
        <f>E62</f>
        <v>APOYO TECNOLÓGICO</v>
      </c>
      <c r="L62" s="3" t="str">
        <f>F62</f>
        <v>SOLICITUD VERBAL</v>
      </c>
      <c r="M62" s="3" t="s">
        <v>15</v>
      </c>
      <c r="N62" s="3" t="s">
        <v>213</v>
      </c>
      <c r="O62" s="3" t="s">
        <v>215</v>
      </c>
    </row>
    <row r="63" spans="1:15" x14ac:dyDescent="0.25">
      <c r="A63">
        <v>62</v>
      </c>
      <c r="B63" t="s">
        <v>216</v>
      </c>
      <c r="C63" t="s">
        <v>24</v>
      </c>
      <c r="D63" t="s">
        <v>51</v>
      </c>
      <c r="E63" t="s">
        <v>12</v>
      </c>
      <c r="F63" t="s">
        <v>13</v>
      </c>
      <c r="G63" t="s">
        <v>21</v>
      </c>
      <c r="H63" t="str">
        <f>N63</f>
        <v>2026-01-30</v>
      </c>
      <c r="I63" t="str">
        <f>C63</f>
        <v>OFICINA DE SISTEMAS</v>
      </c>
      <c r="J63" t="str">
        <f>D63</f>
        <v>Mario Henao</v>
      </c>
      <c r="K63" t="str">
        <f>E63</f>
        <v>ASESORIA Y ASISTENCIA</v>
      </c>
      <c r="L63" t="str">
        <f>F63</f>
        <v>SOLICITUD VERBAL</v>
      </c>
      <c r="M63" t="s">
        <v>15</v>
      </c>
      <c r="N63" t="s">
        <v>213</v>
      </c>
      <c r="O63" t="s">
        <v>217</v>
      </c>
    </row>
    <row r="64" spans="1:15" x14ac:dyDescent="0.25">
      <c r="A64">
        <v>63</v>
      </c>
      <c r="B64" t="s">
        <v>218</v>
      </c>
      <c r="C64" t="s">
        <v>28</v>
      </c>
      <c r="D64" t="s">
        <v>219</v>
      </c>
      <c r="E64" t="s">
        <v>26</v>
      </c>
      <c r="F64" t="s">
        <v>113</v>
      </c>
      <c r="G64" t="s">
        <v>21</v>
      </c>
      <c r="H64" t="str">
        <f>N64</f>
        <v>2026-01-30</v>
      </c>
      <c r="I64" t="str">
        <f>C64</f>
        <v>GESTION HUMANA</v>
      </c>
      <c r="J64" t="str">
        <f>D64</f>
        <v>Leidy Bibiana</v>
      </c>
      <c r="K64" t="str">
        <f>E64</f>
        <v>APOYO TECNOLÓGICO</v>
      </c>
      <c r="L64" t="str">
        <f>F64</f>
        <v>E-MAIL</v>
      </c>
      <c r="M64" t="s">
        <v>15</v>
      </c>
      <c r="N64" t="s">
        <v>213</v>
      </c>
      <c r="O64" t="s">
        <v>220</v>
      </c>
    </row>
    <row r="65" spans="1:15" s="3" customFormat="1" x14ac:dyDescent="0.25">
      <c r="A65" s="3">
        <v>64</v>
      </c>
      <c r="B65" s="3" t="s">
        <v>221</v>
      </c>
      <c r="C65" s="3" t="s">
        <v>208</v>
      </c>
      <c r="D65" s="3" t="s">
        <v>222</v>
      </c>
      <c r="E65" s="3" t="s">
        <v>18</v>
      </c>
      <c r="F65" s="3" t="s">
        <v>19</v>
      </c>
      <c r="G65" s="3" t="s">
        <v>14</v>
      </c>
      <c r="H65" s="3" t="str">
        <f>N65</f>
        <v>2026-02-02</v>
      </c>
      <c r="I65" s="3" t="str">
        <f>C65</f>
        <v>HACIENDA</v>
      </c>
      <c r="J65" s="3" t="str">
        <f>D65</f>
        <v>Flor</v>
      </c>
      <c r="K65" s="3" t="str">
        <f>E65</f>
        <v>MANTENIMIENTO CORRECTIVO</v>
      </c>
      <c r="L65" s="3" t="str">
        <f>F65</f>
        <v>LLAMADA TELEFONICA</v>
      </c>
      <c r="M65" s="3" t="s">
        <v>15</v>
      </c>
      <c r="N65" s="3" t="s">
        <v>224</v>
      </c>
      <c r="O65" s="3" t="s">
        <v>223</v>
      </c>
    </row>
    <row r="66" spans="1:15" x14ac:dyDescent="0.25">
      <c r="A66">
        <v>65</v>
      </c>
      <c r="B66" t="s">
        <v>225</v>
      </c>
      <c r="C66" t="s">
        <v>28</v>
      </c>
      <c r="D66" t="s">
        <v>226</v>
      </c>
      <c r="E66" t="s">
        <v>12</v>
      </c>
      <c r="F66" t="s">
        <v>13</v>
      </c>
      <c r="G66" t="s">
        <v>21</v>
      </c>
      <c r="H66" t="str">
        <f>N66</f>
        <v>2026-02-02</v>
      </c>
      <c r="I66" t="str">
        <f>C66</f>
        <v>GESTION HUMANA</v>
      </c>
      <c r="J66" t="str">
        <f>D66</f>
        <v>Luz Aida</v>
      </c>
      <c r="K66" t="str">
        <f>E66</f>
        <v>ASESORIA Y ASISTENCIA</v>
      </c>
      <c r="L66" t="str">
        <f>F66</f>
        <v>SOLICITUD VERBAL</v>
      </c>
      <c r="M66" t="s">
        <v>15</v>
      </c>
      <c r="N66" t="s">
        <v>224</v>
      </c>
      <c r="O66" t="s">
        <v>227</v>
      </c>
    </row>
    <row r="67" spans="1:15" s="3" customFormat="1" x14ac:dyDescent="0.25">
      <c r="A67" s="3">
        <v>66</v>
      </c>
      <c r="B67" s="3" t="s">
        <v>228</v>
      </c>
      <c r="C67" s="3" t="s">
        <v>229</v>
      </c>
      <c r="D67" s="3" t="s">
        <v>230</v>
      </c>
      <c r="E67" s="3" t="s">
        <v>18</v>
      </c>
      <c r="F67" s="3" t="s">
        <v>19</v>
      </c>
      <c r="G67" s="3" t="s">
        <v>14</v>
      </c>
      <c r="H67" s="3" t="str">
        <f>N67</f>
        <v>2026-02-02</v>
      </c>
      <c r="I67" s="3" t="str">
        <f>C67</f>
        <v>GOBIERNO</v>
      </c>
      <c r="J67" s="3" t="str">
        <f>D67</f>
        <v>Bibiana</v>
      </c>
      <c r="K67" s="3" t="str">
        <f>E67</f>
        <v>MANTENIMIENTO CORRECTIVO</v>
      </c>
      <c r="L67" s="3" t="str">
        <f>F67</f>
        <v>LLAMADA TELEFONICA</v>
      </c>
      <c r="M67" s="3" t="s">
        <v>15</v>
      </c>
      <c r="N67" s="3" t="s">
        <v>224</v>
      </c>
      <c r="O67" s="3" t="s">
        <v>231</v>
      </c>
    </row>
    <row r="68" spans="1:15" s="3" customFormat="1" x14ac:dyDescent="0.25">
      <c r="A68" s="3">
        <v>67</v>
      </c>
      <c r="B68" s="3" t="s">
        <v>232</v>
      </c>
      <c r="C68" s="3" t="s">
        <v>28</v>
      </c>
      <c r="D68" s="3" t="s">
        <v>226</v>
      </c>
      <c r="E68" s="3" t="s">
        <v>12</v>
      </c>
      <c r="F68" s="3" t="s">
        <v>13</v>
      </c>
      <c r="G68" s="3" t="s">
        <v>14</v>
      </c>
      <c r="H68" s="3" t="str">
        <f>N68</f>
        <v>2026-02-03</v>
      </c>
      <c r="I68" s="3" t="str">
        <f>C68</f>
        <v>GESTION HUMANA</v>
      </c>
      <c r="J68" s="3" t="str">
        <f>D68</f>
        <v>Luz Aida</v>
      </c>
      <c r="K68" s="3" t="str">
        <f>E68</f>
        <v>ASESORIA Y ASISTENCIA</v>
      </c>
      <c r="L68" s="3" t="str">
        <f>F68</f>
        <v>SOLICITUD VERBAL</v>
      </c>
      <c r="M68" s="3" t="s">
        <v>15</v>
      </c>
      <c r="N68" s="3" t="s">
        <v>234</v>
      </c>
      <c r="O68" s="3" t="s">
        <v>233</v>
      </c>
    </row>
    <row r="69" spans="1:15" x14ac:dyDescent="0.25">
      <c r="A69">
        <v>68</v>
      </c>
      <c r="B69" t="s">
        <v>235</v>
      </c>
      <c r="C69" t="s">
        <v>236</v>
      </c>
      <c r="D69" t="s">
        <v>237</v>
      </c>
      <c r="E69" t="s">
        <v>12</v>
      </c>
      <c r="F69" t="s">
        <v>13</v>
      </c>
      <c r="G69" t="s">
        <v>21</v>
      </c>
      <c r="H69" t="str">
        <f>N69</f>
        <v>2026-02-03</v>
      </c>
      <c r="I69" t="str">
        <f>C69</f>
        <v>IMPUESTOS</v>
      </c>
      <c r="J69" t="str">
        <f>D69</f>
        <v>Ariel</v>
      </c>
      <c r="K69" t="str">
        <f>E69</f>
        <v>ASESORIA Y ASISTENCIA</v>
      </c>
      <c r="L69" t="str">
        <f>F69</f>
        <v>SOLICITUD VERBAL</v>
      </c>
      <c r="M69" t="s">
        <v>15</v>
      </c>
      <c r="N69" t="s">
        <v>234</v>
      </c>
      <c r="O69" t="s">
        <v>238</v>
      </c>
    </row>
    <row r="70" spans="1:15" x14ac:dyDescent="0.25">
      <c r="A70">
        <v>70</v>
      </c>
      <c r="B70" t="s">
        <v>243</v>
      </c>
      <c r="C70" t="s">
        <v>236</v>
      </c>
      <c r="D70" t="s">
        <v>240</v>
      </c>
      <c r="E70" t="s">
        <v>12</v>
      </c>
      <c r="F70" t="s">
        <v>113</v>
      </c>
      <c r="G70" t="s">
        <v>21</v>
      </c>
      <c r="H70" t="str">
        <f>N70</f>
        <v>2026-02-03</v>
      </c>
      <c r="I70" t="str">
        <f>C70</f>
        <v>IMPUESTOS</v>
      </c>
      <c r="J70" t="str">
        <f>D70</f>
        <v>Nora Alba</v>
      </c>
      <c r="K70" t="str">
        <f>E70</f>
        <v>ASESORIA Y ASISTENCIA</v>
      </c>
      <c r="L70" t="str">
        <f>F70</f>
        <v>E-MAIL</v>
      </c>
      <c r="M70" t="s">
        <v>15</v>
      </c>
      <c r="N70" t="s">
        <v>234</v>
      </c>
      <c r="O70" t="s">
        <v>244</v>
      </c>
    </row>
    <row r="71" spans="1:15" x14ac:dyDescent="0.25">
      <c r="A71">
        <v>69</v>
      </c>
      <c r="B71" t="s">
        <v>239</v>
      </c>
      <c r="C71" t="s">
        <v>236</v>
      </c>
      <c r="D71" t="s">
        <v>240</v>
      </c>
      <c r="E71" t="s">
        <v>12</v>
      </c>
      <c r="F71" t="s">
        <v>13</v>
      </c>
      <c r="G71" t="s">
        <v>21</v>
      </c>
      <c r="H71" t="str">
        <f>N71</f>
        <v>2026-02-04</v>
      </c>
      <c r="I71" t="str">
        <f>C71</f>
        <v>IMPUESTOS</v>
      </c>
      <c r="J71" t="str">
        <f>D71</f>
        <v>Nora Alba</v>
      </c>
      <c r="K71" t="str">
        <f>E71</f>
        <v>ASESORIA Y ASISTENCIA</v>
      </c>
      <c r="L71" t="str">
        <f>F71</f>
        <v>SOLICITUD VERBAL</v>
      </c>
      <c r="M71" t="s">
        <v>15</v>
      </c>
      <c r="N71" t="s">
        <v>242</v>
      </c>
      <c r="O71" t="s">
        <v>241</v>
      </c>
    </row>
    <row r="72" spans="1:15" x14ac:dyDescent="0.25">
      <c r="A72">
        <v>71</v>
      </c>
      <c r="B72" t="s">
        <v>245</v>
      </c>
      <c r="C72" t="s">
        <v>24</v>
      </c>
      <c r="D72" t="s">
        <v>246</v>
      </c>
      <c r="E72" t="s">
        <v>12</v>
      </c>
      <c r="F72" t="s">
        <v>19</v>
      </c>
      <c r="G72" t="s">
        <v>94</v>
      </c>
      <c r="H72" t="str">
        <f>N72</f>
        <v>2026-02-04</v>
      </c>
      <c r="I72" t="str">
        <f>C72</f>
        <v>OFICINA DE SISTEMAS</v>
      </c>
      <c r="J72" t="str">
        <f>D72</f>
        <v>Mario</v>
      </c>
      <c r="K72" t="str">
        <f>E72</f>
        <v>ASESORIA Y ASISTENCIA</v>
      </c>
      <c r="L72" t="str">
        <f>F72</f>
        <v>LLAMADA TELEFONICA</v>
      </c>
      <c r="M72" t="s">
        <v>15</v>
      </c>
      <c r="N72" t="s">
        <v>242</v>
      </c>
      <c r="O72" t="s">
        <v>247</v>
      </c>
    </row>
    <row r="73" spans="1:15" x14ac:dyDescent="0.25">
      <c r="A73">
        <v>72</v>
      </c>
      <c r="B73" t="s">
        <v>248</v>
      </c>
      <c r="C73" t="s">
        <v>249</v>
      </c>
      <c r="D73" t="s">
        <v>250</v>
      </c>
      <c r="E73" t="s">
        <v>12</v>
      </c>
      <c r="F73" t="s">
        <v>19</v>
      </c>
      <c r="G73" t="s">
        <v>21</v>
      </c>
      <c r="H73" t="str">
        <f>N73</f>
        <v>2026-02-04</v>
      </c>
      <c r="I73" t="str">
        <f>C73</f>
        <v>INFRAESTRUCTURA</v>
      </c>
      <c r="J73" t="str">
        <f>D73</f>
        <v>Vanesa</v>
      </c>
      <c r="K73" t="str">
        <f>E73</f>
        <v>ASESORIA Y ASISTENCIA</v>
      </c>
      <c r="L73" t="str">
        <f>F73</f>
        <v>LLAMADA TELEFONICA</v>
      </c>
      <c r="M73" t="s">
        <v>15</v>
      </c>
      <c r="N73" t="s">
        <v>242</v>
      </c>
      <c r="O73" t="s">
        <v>251</v>
      </c>
    </row>
    <row r="74" spans="1:15" x14ac:dyDescent="0.25">
      <c r="A74">
        <v>73</v>
      </c>
      <c r="B74" t="s">
        <v>252</v>
      </c>
      <c r="C74" t="s">
        <v>40</v>
      </c>
      <c r="D74" t="s">
        <v>78</v>
      </c>
      <c r="E74" t="s">
        <v>12</v>
      </c>
      <c r="F74" t="s">
        <v>19</v>
      </c>
      <c r="G74" t="s">
        <v>21</v>
      </c>
      <c r="H74" t="str">
        <f>N74</f>
        <v>2026-02-05</v>
      </c>
      <c r="I74" t="str">
        <f>C74</f>
        <v>CENTRO DÍA</v>
      </c>
      <c r="J74" t="str">
        <f>D74</f>
        <v>Melida</v>
      </c>
      <c r="K74" t="str">
        <f>E74</f>
        <v>ASESORIA Y ASISTENCIA</v>
      </c>
      <c r="L74" t="str">
        <f>F74</f>
        <v>LLAMADA TELEFONICA</v>
      </c>
      <c r="M74" t="s">
        <v>15</v>
      </c>
      <c r="N74" t="s">
        <v>254</v>
      </c>
      <c r="O74" t="s">
        <v>253</v>
      </c>
    </row>
    <row r="75" spans="1:15" x14ac:dyDescent="0.25">
      <c r="A75">
        <v>74</v>
      </c>
      <c r="B75" t="s">
        <v>255</v>
      </c>
      <c r="C75" t="s">
        <v>208</v>
      </c>
      <c r="D75" t="s">
        <v>256</v>
      </c>
      <c r="E75" t="s">
        <v>12</v>
      </c>
      <c r="F75" t="s">
        <v>113</v>
      </c>
      <c r="G75" t="s">
        <v>21</v>
      </c>
      <c r="H75" t="str">
        <f>N75</f>
        <v>2026-02-05</v>
      </c>
      <c r="I75" t="str">
        <f>C75</f>
        <v>HACIENDA</v>
      </c>
      <c r="J75" t="str">
        <f>D75</f>
        <v>Flor Maria Montoya</v>
      </c>
      <c r="K75" t="str">
        <f>E75</f>
        <v>ASESORIA Y ASISTENCIA</v>
      </c>
      <c r="L75" t="str">
        <f>F75</f>
        <v>E-MAIL</v>
      </c>
      <c r="M75" t="s">
        <v>15</v>
      </c>
      <c r="N75" t="s">
        <v>254</v>
      </c>
      <c r="O75" t="s">
        <v>257</v>
      </c>
    </row>
    <row r="76" spans="1:15" x14ac:dyDescent="0.25">
      <c r="A76">
        <v>75</v>
      </c>
      <c r="B76" t="s">
        <v>258</v>
      </c>
      <c r="C76" t="s">
        <v>170</v>
      </c>
      <c r="D76" t="s">
        <v>259</v>
      </c>
      <c r="E76" t="s">
        <v>12</v>
      </c>
      <c r="F76" t="s">
        <v>113</v>
      </c>
      <c r="G76" t="s">
        <v>21</v>
      </c>
      <c r="H76" t="str">
        <f>N76</f>
        <v>2026-02-05</v>
      </c>
      <c r="I76" t="str">
        <f>C76</f>
        <v>CATASTRO</v>
      </c>
      <c r="J76" t="str">
        <f>D76</f>
        <v>Luis Fernando</v>
      </c>
      <c r="K76" t="str">
        <f>E76</f>
        <v>ASESORIA Y ASISTENCIA</v>
      </c>
      <c r="L76" t="str">
        <f>F76</f>
        <v>E-MAIL</v>
      </c>
      <c r="M76" t="s">
        <v>15</v>
      </c>
      <c r="N76" t="s">
        <v>254</v>
      </c>
      <c r="O76" t="s">
        <v>257</v>
      </c>
    </row>
    <row r="77" spans="1:15" s="3" customFormat="1" x14ac:dyDescent="0.25">
      <c r="A77" s="3">
        <v>76</v>
      </c>
      <c r="B77" s="3" t="s">
        <v>260</v>
      </c>
      <c r="C77" s="3" t="s">
        <v>10</v>
      </c>
      <c r="D77" s="3" t="s">
        <v>11</v>
      </c>
      <c r="E77" s="3" t="s">
        <v>18</v>
      </c>
      <c r="F77" s="3" t="s">
        <v>13</v>
      </c>
      <c r="G77" s="3" t="s">
        <v>14</v>
      </c>
      <c r="H77" s="3" t="str">
        <f>N77</f>
        <v>2026-02-05</v>
      </c>
      <c r="I77" s="3" t="str">
        <f>C77</f>
        <v>VIVIENDA</v>
      </c>
      <c r="J77" s="3" t="str">
        <f>D77</f>
        <v>Maribel</v>
      </c>
      <c r="K77" s="3" t="str">
        <f>E77</f>
        <v>MANTENIMIENTO CORRECTIVO</v>
      </c>
      <c r="L77" s="3" t="str">
        <f>F77</f>
        <v>SOLICITUD VERBAL</v>
      </c>
      <c r="M77" s="3" t="s">
        <v>15</v>
      </c>
      <c r="N77" s="3" t="s">
        <v>254</v>
      </c>
      <c r="O77" s="3" t="s">
        <v>261</v>
      </c>
    </row>
    <row r="78" spans="1:15" s="3" customFormat="1" x14ac:dyDescent="0.25">
      <c r="A78" s="3">
        <v>77</v>
      </c>
      <c r="B78" s="3" t="s">
        <v>262</v>
      </c>
      <c r="C78" s="3" t="s">
        <v>69</v>
      </c>
      <c r="D78" s="3" t="s">
        <v>263</v>
      </c>
      <c r="E78" s="3" t="s">
        <v>18</v>
      </c>
      <c r="F78" s="3" t="s">
        <v>13</v>
      </c>
      <c r="G78" s="3" t="s">
        <v>14</v>
      </c>
      <c r="H78" s="3" t="str">
        <f>N78</f>
        <v>2026-02-05</v>
      </c>
      <c r="I78" s="3" t="str">
        <f>C78</f>
        <v>DESARROLLO COMUNITARIO</v>
      </c>
      <c r="J78" s="3" t="str">
        <f>D78</f>
        <v>Daniela</v>
      </c>
      <c r="K78" s="3" t="str">
        <f>E78</f>
        <v>MANTENIMIENTO CORRECTIVO</v>
      </c>
      <c r="L78" s="3" t="str">
        <f>F78</f>
        <v>SOLICITUD VERBAL</v>
      </c>
      <c r="M78" s="3" t="s">
        <v>15</v>
      </c>
      <c r="N78" s="3" t="s">
        <v>254</v>
      </c>
      <c r="O78" s="3" t="s">
        <v>264</v>
      </c>
    </row>
  </sheetData>
  <autoFilter ref="A1:O78"/>
  <pageMargins left="0.75" right="0.75" top="1" bottom="1" header="0.5" footer="0.5"/>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Apoyo sistemas</cp:lastModifiedBy>
  <dcterms:created xsi:type="dcterms:W3CDTF">2026-01-29T19:40:34Z</dcterms:created>
  <dcterms:modified xsi:type="dcterms:W3CDTF">2026-01-30T20:41:42Z</dcterms:modified>
</cp:coreProperties>
</file>