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name="Informe Febrero 26" sheetId="1" state="visible" r:id="rId1"/>
    <sheet name="Informe Octubre 25" sheetId="2" state="visible" r:id="rId2"/>
    <sheet name="Resumido 25" sheetId="3" state="visible" r:id="rId3"/>
  </sheets>
  <definedNames/>
  <calcPr calcId="162913" fullCalcOnLoad="1"/>
</workbook>
</file>

<file path=xl/styles.xml><?xml version="1.0" encoding="utf-8"?>
<styleSheet xmlns="http://schemas.openxmlformats.org/spreadsheetml/2006/main">
  <numFmts count="3">
    <numFmt numFmtId="164" formatCode="dd\-mmm\-yy"/>
    <numFmt numFmtId="165" formatCode="d\-mmm\-yyyy"/>
    <numFmt numFmtId="166" formatCode="yyyy\-mm\-dd;@"/>
  </numFmts>
  <fonts count="13">
    <font>
      <name val="Calibri"/>
      <family val="2"/>
      <color theme="1"/>
      <sz val="11"/>
      <scheme val="minor"/>
    </font>
    <font>
      <name val="Arial"/>
      <family val="2"/>
      <b val="1"/>
      <color rgb="FF000000"/>
      <sz val="10"/>
    </font>
    <font>
      <name val="Arial"/>
      <family val="2"/>
      <color rgb="FF000000"/>
      <sz val="10"/>
    </font>
    <font>
      <name val="Calibri"/>
      <family val="2"/>
      <color theme="1"/>
      <sz val="10"/>
      <scheme val="minor"/>
    </font>
    <font>
      <name val="Calibri"/>
      <family val="2"/>
      <b val="1"/>
      <color theme="1"/>
      <sz val="10"/>
      <scheme val="minor"/>
    </font>
    <font>
      <name val="Calibri"/>
      <family val="2"/>
      <i val="1"/>
      <color theme="1"/>
      <sz val="10"/>
      <scheme val="minor"/>
    </font>
    <font>
      <name val="Calibri"/>
      <family val="2"/>
      <color theme="1"/>
      <sz val="14"/>
      <scheme val="minor"/>
    </font>
    <font>
      <name val="Calibri"/>
      <family val="2"/>
      <b val="1"/>
      <color theme="1"/>
      <sz val="14"/>
      <scheme val="minor"/>
    </font>
    <font>
      <name val="Arial"/>
      <family val="2"/>
      <color theme="1"/>
      <sz val="10"/>
    </font>
    <font>
      <name val="Arial"/>
      <family val="2"/>
      <b val="1"/>
      <color theme="1"/>
      <sz val="10"/>
    </font>
    <font>
      <name val="Arial"/>
      <family val="2"/>
      <i val="1"/>
      <color theme="1"/>
      <sz val="10"/>
    </font>
    <font>
      <b val="1"/>
    </font>
    <font>
      <b val="1"/>
      <sz val="12"/>
    </font>
  </fonts>
  <fills count="3">
    <fill>
      <patternFill/>
    </fill>
    <fill>
      <patternFill patternType="gray125"/>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103">
    <xf numFmtId="0" fontId="0" fillId="0" borderId="0" pivotButton="0" quotePrefix="0" xfId="0"/>
    <xf numFmtId="49" fontId="4"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1" applyAlignment="1" pivotButton="0" quotePrefix="0" xfId="0">
      <alignment horizontal="left" vertical="center" wrapText="1"/>
    </xf>
    <xf numFmtId="49"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0" borderId="1" applyAlignment="1" pivotButton="0" quotePrefix="0" xfId="0">
      <alignment wrapText="1"/>
    </xf>
    <xf numFmtId="0" fontId="3" fillId="0" borderId="1" applyAlignment="1" pivotButton="0" quotePrefix="0" xfId="0">
      <alignment horizontal="center" wrapTex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2" fillId="0" borderId="1" applyAlignment="1" pivotButton="0" quotePrefix="0" xfId="0">
      <alignment vertical="top" wrapText="1"/>
    </xf>
    <xf numFmtId="0" fontId="4" fillId="0"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left" vertical="top" wrapText="1"/>
    </xf>
    <xf numFmtId="49" fontId="2" fillId="0" borderId="1" applyAlignment="1" pivotButton="0" quotePrefix="0" xfId="0">
      <alignment vertical="top" wrapText="1"/>
    </xf>
    <xf numFmtId="1" fontId="1" fillId="0" borderId="1" applyAlignment="1" pivotButton="0" quotePrefix="0" xfId="0">
      <alignment vertical="top" wrapText="1"/>
    </xf>
    <xf numFmtId="0" fontId="2" fillId="0" borderId="1" applyAlignment="1" pivotButton="0" quotePrefix="0" xfId="0">
      <alignment horizontal="left" wrapText="1"/>
    </xf>
    <xf numFmtId="0" fontId="1" fillId="0" borderId="1" applyAlignment="1" pivotButton="0" quotePrefix="0" xfId="0">
      <alignment vertical="top" wrapText="1"/>
    </xf>
    <xf numFmtId="0" fontId="1" fillId="0" borderId="1" applyAlignment="1" pivotButton="0" quotePrefix="0" xfId="0">
      <alignment vertical="top"/>
    </xf>
    <xf numFmtId="0" fontId="3" fillId="0" borderId="1" applyAlignment="1" pivotButton="0" quotePrefix="0" xfId="0">
      <alignment vertical="top" wrapText="1"/>
    </xf>
    <xf numFmtId="0" fontId="0" fillId="0" borderId="0" applyAlignment="1" pivotButton="0" quotePrefix="0" xfId="0">
      <alignment wrapText="1"/>
    </xf>
    <xf numFmtId="0" fontId="3" fillId="0" borderId="1" applyAlignment="1" pivotButton="0" quotePrefix="0" xfId="0">
      <alignment horizontal="left" vertical="center" wrapText="1"/>
    </xf>
    <xf numFmtId="0" fontId="1" fillId="0" borderId="1" applyAlignment="1" pivotButton="0" quotePrefix="0" xfId="0">
      <alignment horizontal="left" wrapText="1"/>
    </xf>
    <xf numFmtId="0" fontId="3" fillId="0" borderId="1" applyAlignment="1" pivotButton="0" quotePrefix="0" xfId="0">
      <alignment horizontal="left" vertical="top" wrapText="1"/>
    </xf>
    <xf numFmtId="0" fontId="1" fillId="0" borderId="1" applyAlignment="1" pivotButton="0" quotePrefix="0" xfId="0">
      <alignment horizontal="left" vertical="center" wrapText="1"/>
    </xf>
    <xf numFmtId="0" fontId="1" fillId="0" borderId="1" applyAlignment="1" pivotButton="0" quotePrefix="0" xfId="0">
      <alignment horizontal="left" vertical="top" wrapText="1"/>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49" fontId="0" fillId="0" borderId="1" applyAlignment="1" pivotButton="0" quotePrefix="0" xfId="0">
      <alignment horizontal="center" vertical="center" wrapText="1"/>
    </xf>
    <xf numFmtId="15" fontId="5" fillId="2" borderId="1" applyAlignment="1" pivotButton="0" quotePrefix="0" xfId="0">
      <alignment horizontal="center" vertical="center" wrapText="1"/>
    </xf>
    <xf numFmtId="0" fontId="4" fillId="2" borderId="1" applyAlignment="1" pivotButton="0" quotePrefix="0" xfId="0">
      <alignment horizontal="left" vertical="center" wrapText="1"/>
    </xf>
    <xf numFmtId="15" fontId="0" fillId="0" borderId="1" applyAlignment="1" pivotButton="0" quotePrefix="0" xfId="0">
      <alignment horizontal="center" vertical="center" wrapText="1"/>
    </xf>
    <xf numFmtId="164" fontId="3" fillId="0" borderId="1" applyAlignment="1" pivotButton="0" quotePrefix="0" xfId="0">
      <alignment horizontal="left" vertical="center" wrapText="1"/>
    </xf>
    <xf numFmtId="164" fontId="3" fillId="0" borderId="1" applyAlignment="1" pivotButton="0" quotePrefix="0" xfId="0">
      <alignment horizontal="center" vertical="center" wrapText="1"/>
    </xf>
    <xf numFmtId="165" fontId="0" fillId="0" borderId="1" applyAlignment="1" pivotButton="0" quotePrefix="0" xfId="0">
      <alignment horizontal="left" vertical="center" wrapText="1"/>
    </xf>
    <xf numFmtId="15" fontId="3" fillId="0" borderId="1" applyAlignment="1" pivotButton="0" quotePrefix="0" xfId="0">
      <alignment horizontal="center" vertical="center" wrapText="1"/>
    </xf>
    <xf numFmtId="0" fontId="4" fillId="0" borderId="1" applyAlignment="1" pivotButton="0" quotePrefix="0" xfId="0">
      <alignment wrapText="1"/>
    </xf>
    <xf numFmtId="15" fontId="3" fillId="0" borderId="1" applyAlignment="1" pivotButton="0" quotePrefix="0" xfId="0">
      <alignment horizontal="left" vertical="center" wrapText="1"/>
    </xf>
    <xf numFmtId="15" fontId="3" fillId="0" borderId="1" applyAlignment="1" pivotButton="0" quotePrefix="0" xfId="0">
      <alignment wrapText="1"/>
    </xf>
    <xf numFmtId="0" fontId="3" fillId="0" borderId="4" applyAlignment="1" pivotButton="0" quotePrefix="0" xfId="0">
      <alignment wrapText="1"/>
    </xf>
    <xf numFmtId="0" fontId="3" fillId="0" borderId="0" applyAlignment="1" pivotButton="0" quotePrefix="0" xfId="0">
      <alignment wrapText="1"/>
    </xf>
    <xf numFmtId="15" fontId="3" fillId="0" borderId="0" applyAlignment="1" pivotButton="0" quotePrefix="0" xfId="0">
      <alignment wrapText="1"/>
    </xf>
    <xf numFmtId="0" fontId="3" fillId="0" borderId="5" applyAlignment="1" pivotButton="0" quotePrefix="0" xfId="0">
      <alignment wrapText="1"/>
    </xf>
    <xf numFmtId="0" fontId="1" fillId="0" borderId="1" applyAlignment="1" pivotButton="0" quotePrefix="0" xfId="0">
      <alignment horizontal="left" vertical="top" wrapText="1"/>
    </xf>
    <xf numFmtId="0" fontId="1" fillId="0" borderId="1" applyAlignment="1" pivotButton="0" quotePrefix="0" xfId="0">
      <alignment horizontal="left" vertical="center" wrapText="1"/>
    </xf>
    <xf numFmtId="166" fontId="8" fillId="0" borderId="0" applyAlignment="1" pivotButton="0" quotePrefix="0" xfId="0">
      <alignment horizontal="center" vertical="center" wrapText="1"/>
    </xf>
    <xf numFmtId="0" fontId="8" fillId="0" borderId="1" applyAlignment="1" pivotButton="0" quotePrefix="0" xfId="0">
      <alignment wrapText="1"/>
    </xf>
    <xf numFmtId="49" fontId="9" fillId="2" borderId="1" applyAlignment="1" pivotButton="0" quotePrefix="0" xfId="0">
      <alignment horizontal="center" vertical="center" wrapText="1"/>
    </xf>
    <xf numFmtId="15" fontId="10" fillId="2" borderId="1" applyAlignment="1" pivotButton="0" quotePrefix="0" xfId="0">
      <alignment horizontal="center" vertical="center" wrapText="1"/>
    </xf>
    <xf numFmtId="0" fontId="9" fillId="2" borderId="1" applyAlignment="1" pivotButton="0" quotePrefix="0" xfId="0">
      <alignment horizontal="left" vertical="center" wrapText="1"/>
    </xf>
    <xf numFmtId="0" fontId="9" fillId="2" borderId="1"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left" vertical="center" wrapText="1"/>
    </xf>
    <xf numFmtId="164" fontId="8" fillId="0" borderId="0" applyAlignment="1" pivotButton="0" quotePrefix="0" xfId="0">
      <alignment horizontal="left" vertical="center" wrapText="1"/>
    </xf>
    <xf numFmtId="0" fontId="8" fillId="0" borderId="0" applyAlignment="1" pivotButton="0" quotePrefix="0" xfId="0">
      <alignment horizontal="left" vertical="center" wrapText="1"/>
    </xf>
    <xf numFmtId="49" fontId="8" fillId="0" borderId="0" applyAlignment="1" pivotButton="0" quotePrefix="0" xfId="0">
      <alignment horizontal="center" vertical="center" wrapText="1"/>
    </xf>
    <xf numFmtId="0" fontId="8" fillId="0" borderId="0" applyAlignment="1" pivotButton="0" quotePrefix="0" xfId="0">
      <alignment horizontal="center" vertical="center" wrapText="1"/>
    </xf>
    <xf numFmtId="164" fontId="8" fillId="0" borderId="0" applyAlignment="1" pivotButton="0" quotePrefix="0" xfId="0">
      <alignment horizontal="center" vertical="center" wrapText="1"/>
    </xf>
    <xf numFmtId="0" fontId="8" fillId="0" borderId="0" applyAlignment="1" pivotButton="0" quotePrefix="0" xfId="0">
      <alignment horizontal="left" vertical="center" wrapText="1"/>
    </xf>
    <xf numFmtId="0" fontId="8" fillId="0" borderId="4" applyAlignment="1" pivotButton="0" quotePrefix="0" xfId="0">
      <alignment wrapText="1"/>
    </xf>
    <xf numFmtId="0" fontId="8" fillId="0" borderId="0" applyAlignment="1" pivotButton="0" quotePrefix="0" xfId="0">
      <alignment vertical="center" wrapText="1"/>
    </xf>
    <xf numFmtId="0" fontId="9" fillId="0" borderId="2" applyAlignment="1" pivotButton="0" quotePrefix="0" xfId="0">
      <alignment wrapText="1"/>
    </xf>
    <xf numFmtId="15" fontId="8" fillId="0" borderId="0" applyAlignment="1" pivotButton="0" quotePrefix="0" xfId="0">
      <alignment horizontal="left" vertical="center" wrapText="1"/>
    </xf>
    <xf numFmtId="15" fontId="8" fillId="0" borderId="0" applyAlignment="1" pivotButton="0" quotePrefix="0" xfId="0">
      <alignment horizontal="center" vertical="center" wrapText="1"/>
    </xf>
    <xf numFmtId="0" fontId="9" fillId="0" borderId="1" applyAlignment="1" pivotButton="0" quotePrefix="0" xfId="0">
      <alignment horizontal="left" vertical="top" wrapText="1"/>
    </xf>
    <xf numFmtId="0" fontId="8" fillId="0" borderId="0" applyAlignment="1" pivotButton="0" quotePrefix="0" xfId="0">
      <alignment wrapText="1"/>
    </xf>
    <xf numFmtId="15" fontId="8" fillId="0" borderId="0" applyAlignment="1" pivotButton="0" quotePrefix="0" xfId="0">
      <alignment wrapText="1"/>
    </xf>
    <xf numFmtId="0" fontId="8" fillId="0" borderId="5" applyAlignment="1" pivotButton="0" quotePrefix="0" xfId="0">
      <alignment wrapText="1"/>
    </xf>
    <xf numFmtId="15" fontId="8" fillId="0" borderId="1" applyAlignment="1" pivotButton="0" quotePrefix="0" xfId="0">
      <alignment wrapText="1"/>
    </xf>
    <xf numFmtId="0" fontId="9" fillId="0" borderId="2" applyAlignment="1" pivotButton="0" quotePrefix="0" xfId="0">
      <alignment horizontal="left" vertical="center" wrapText="1"/>
    </xf>
    <xf numFmtId="0" fontId="8" fillId="0" borderId="2" applyAlignment="1" pivotButton="0" quotePrefix="0" xfId="0">
      <alignment horizontal="left" vertical="center" wrapText="1"/>
    </xf>
    <xf numFmtId="0" fontId="8" fillId="0" borderId="0" applyAlignment="1" pivotButton="0" quotePrefix="0" xfId="0">
      <alignment vertical="center" wrapText="1"/>
    </xf>
    <xf numFmtId="0" fontId="8" fillId="0" borderId="0" applyAlignment="1" pivotButton="0" quotePrefix="0" xfId="0">
      <alignment horizontal="center" wrapText="1"/>
    </xf>
    <xf numFmtId="0" fontId="2" fillId="0" borderId="7" applyAlignment="1" pivotButton="0" quotePrefix="0" xfId="0">
      <alignment vertical="top" wrapText="1"/>
    </xf>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1" fillId="0" borderId="1" applyAlignment="1" pivotButton="0" quotePrefix="0" xfId="0">
      <alignment horizontal="left" vertical="top" wrapText="1"/>
    </xf>
    <xf numFmtId="1" fontId="1" fillId="0" borderId="1" applyAlignment="1" pivotButton="0" quotePrefix="0" xfId="0">
      <alignment horizontal="left" vertical="top" wrapText="1"/>
    </xf>
    <xf numFmtId="0" fontId="8" fillId="0" borderId="1" applyAlignment="1" pivotButton="0" quotePrefix="0" xfId="0">
      <alignment horizontal="left" vertical="top" wrapText="1"/>
    </xf>
    <xf numFmtId="3" fontId="1" fillId="0" borderId="1" applyAlignment="1" pivotButton="0" quotePrefix="0" xfId="0">
      <alignment horizontal="left" vertical="center" wrapText="1"/>
    </xf>
    <xf numFmtId="0" fontId="1" fillId="0" borderId="1" applyAlignment="1" pivotButton="0" quotePrefix="0" xfId="0">
      <alignment horizontal="center" wrapText="1"/>
    </xf>
    <xf numFmtId="0" fontId="1" fillId="0" borderId="6" applyAlignment="1" pivotButton="0" quotePrefix="0" xfId="0">
      <alignment horizontal="center" wrapText="1"/>
    </xf>
    <xf numFmtId="49" fontId="1"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6" fillId="0" borderId="1" applyAlignment="1" pivotButton="0" quotePrefix="0" xfId="0">
      <alignment horizontal="center" wrapText="1"/>
    </xf>
    <xf numFmtId="0" fontId="7" fillId="0" borderId="1" applyAlignment="1" pivotButton="0" quotePrefix="0" xfId="0">
      <alignment horizontal="center"/>
    </xf>
    <xf numFmtId="0" fontId="0" fillId="0" borderId="1" applyAlignment="1" pivotButton="0" quotePrefix="0" xfId="0">
      <alignment horizontal="center" wrapText="1"/>
    </xf>
    <xf numFmtId="49" fontId="1" fillId="0" borderId="1" applyAlignment="1" pivotButton="0" quotePrefix="0" xfId="0">
      <alignment horizontal="center" vertical="top" wrapText="1"/>
    </xf>
    <xf numFmtId="1" fontId="1" fillId="0" borderId="1" applyAlignment="1" pivotButton="0" quotePrefix="0" xfId="0">
      <alignment horizontal="center" vertical="top" wrapText="1"/>
    </xf>
    <xf numFmtId="0" fontId="1" fillId="0" borderId="2" applyAlignment="1" pivotButton="0" quotePrefix="0" xfId="0">
      <alignment horizontal="center" vertical="top" wrapText="1"/>
    </xf>
    <xf numFmtId="0" fontId="1" fillId="0" borderId="3" applyAlignment="1" pivotButton="0" quotePrefix="0" xfId="0">
      <alignment horizontal="center" vertical="top" wrapText="1"/>
    </xf>
    <xf numFmtId="0" fontId="1" fillId="0" borderId="4" applyAlignment="1" pivotButton="0" quotePrefix="0" xfId="0">
      <alignment horizontal="center" vertical="top" wrapText="1"/>
    </xf>
    <xf numFmtId="0" fontId="1" fillId="0" borderId="1" applyAlignment="1" pivotButton="0" quotePrefix="0" xfId="0">
      <alignment horizontal="center" vertical="top"/>
    </xf>
    <xf numFmtId="0" fontId="1" fillId="0" borderId="1" applyAlignment="1" pivotButton="0" quotePrefix="0" xfId="0">
      <alignment horizontal="center"/>
    </xf>
    <xf numFmtId="0" fontId="0" fillId="0" borderId="1" applyAlignment="1" pivotButton="0" quotePrefix="0" xfId="0">
      <alignment horizontal="center"/>
    </xf>
    <xf numFmtId="0" fontId="6" fillId="0" borderId="1" applyAlignment="1" pivotButton="0" quotePrefix="0" xfId="0">
      <alignment horizontal="center"/>
    </xf>
    <xf numFmtId="0" fontId="0" fillId="0" borderId="3" pivotButton="0" quotePrefix="0" xfId="0"/>
    <xf numFmtId="0" fontId="0" fillId="0" borderId="4" pivotButton="0" quotePrefix="0" xfId="0"/>
    <xf numFmtId="0" fontId="11"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1" fillId="0" borderId="1" applyAlignment="1" pivotButton="0" quotePrefix="0" xfId="0">
      <alignment horizontal="center" vertical="top" wrapText="1"/>
    </xf>
  </cellXfs>
  <cellStyles count="1">
    <cellStyle name="Normal" xfId="0" builtinId="0"/>
  </cellStyles>
  <dxfs count="44">
    <dxf>
      <alignment horizontal="left" vertical="center" wrapText="1"/>
    </dxf>
    <dxf>
      <font>
        <strike val="0"/>
        <outline val="0"/>
        <shadow val="0"/>
        <sz val="10"/>
        <vertAlign val="baseline"/>
      </font>
      <numFmt numFmtId="0" formatCode="General"/>
      <alignment horizontal="left" vertical="center" wrapText="1"/>
      <border outline="0">
        <left style="thin">
          <color indexed="64"/>
        </left>
        <right/>
        <top style="thin">
          <color indexed="64"/>
        </top>
        <bottom style="thin">
          <color indexed="64"/>
        </bottom>
      </border>
    </dxf>
    <dxf>
      <alignment horizontal="center" vertical="center"/>
    </dxf>
    <dxf>
      <font>
        <strike val="0"/>
        <outline val="0"/>
        <shadow val="0"/>
        <sz val="10"/>
        <vertAlign val="baseline"/>
      </font>
      <numFmt numFmtId="164" formatCode="dd\-mmm\-yy"/>
      <alignment horizontal="center" vertical="center" wrapText="1"/>
      <border outline="0">
        <left style="thin">
          <color indexed="64"/>
        </left>
        <right style="thin">
          <color indexed="64"/>
        </right>
        <top style="thin">
          <color indexed="64"/>
        </top>
        <bottom style="thin">
          <color indexed="64"/>
        </bottom>
      </border>
    </dxf>
    <dxf>
      <alignment horizontal="center" vertical="center"/>
    </dxf>
    <dxf>
      <font>
        <strike val="0"/>
        <outline val="0"/>
        <shadow val="0"/>
        <sz val="10"/>
        <vertAlign val="baseline"/>
      </font>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dxf>
    <dxf>
      <font>
        <strike val="0"/>
        <outline val="0"/>
        <shadow val="0"/>
        <sz val="10"/>
        <vertAlign val="baseline"/>
      </font>
      <numFmt numFmtId="30" formatCode="@"/>
      <alignment horizontal="center" vertical="center" wrapText="1"/>
      <border outline="0">
        <left style="thin">
          <color indexed="64"/>
        </left>
        <right style="thin">
          <color indexed="64"/>
        </right>
        <top style="thin">
          <color indexed="64"/>
        </top>
        <bottom style="thin">
          <color indexed="64"/>
        </bottom>
      </border>
    </dxf>
    <dxf>
      <alignment horizontal="left" vertical="center" wrapText="1"/>
    </dxf>
    <dxf>
      <font>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wrapText="1"/>
    </dxf>
    <dxf>
      <font>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dxf>
    <dxf>
      <font>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dxf>
    <dxf>
      <font>
        <strike val="0"/>
        <outline val="0"/>
        <shadow val="0"/>
        <sz val="10"/>
        <vertAlign val="baseline"/>
      </font>
      <numFmt numFmtId="164" formatCode="dd\-mmm\-yy"/>
      <alignment horizontal="left" vertical="center" wrapText="1"/>
      <border outline="0">
        <left style="thin">
          <color indexed="64"/>
        </left>
        <right style="thin">
          <color indexed="64"/>
        </right>
        <top style="thin">
          <color indexed="64"/>
        </top>
        <bottom style="thin">
          <color indexed="64"/>
        </bottom>
      </border>
    </dxf>
    <dxf>
      <alignment horizontal="left" vertical="center" wrapText="1"/>
    </dxf>
    <dxf>
      <font>
        <strike val="0"/>
        <outline val="0"/>
        <shadow val="0"/>
        <sz val="10"/>
        <vertAlign val="baseline"/>
      </font>
      <alignment horizontal="left" vertical="center" wrapText="1"/>
      <border outline="0">
        <left/>
        <right style="thin">
          <color indexed="64"/>
        </right>
        <top style="thin">
          <color indexed="64"/>
        </top>
        <bottom style="thin">
          <color indexed="64"/>
        </bottom>
      </border>
    </dxf>
    <dxf>
      <border outline="0">
        <top style="medium">
          <color indexed="64"/>
        </top>
      </border>
    </dxf>
    <dxf>
      <font>
        <strike val="0"/>
        <outline val="0"/>
        <shadow val="0"/>
        <sz val="10"/>
        <vertAlign val="baseline"/>
      </font>
      <numFmt numFmtId="30" formatCode="@"/>
      <alignment wrapText="1"/>
    </dxf>
    <dxf>
      <border outline="0">
        <bottom style="medium">
          <color indexed="64"/>
        </bottom>
      </border>
    </dxf>
    <dxf>
      <font>
        <name val="Calibri"/>
        <b val="1"/>
        <strike val="0"/>
        <outline val="0"/>
        <shadow val="0"/>
        <condense val="0"/>
        <color theme="1"/>
        <extend val="0"/>
        <sz val="10"/>
        <vertAlign val="baseline"/>
        <scheme val="minor"/>
      </font>
      <numFmt numFmtId="30" formatCode="@"/>
      <fill>
        <patternFill patternType="solid">
          <fgColor indexed="64"/>
          <bgColor theme="0" tint="-0.249977111117893"/>
        </patternFill>
      </fill>
      <alignment horizontal="center" vertical="center" wrapText="1"/>
      <border outline="0">
        <left style="thin">
          <color indexed="64"/>
        </left>
        <right style="thin">
          <color indexed="64"/>
        </right>
        <top/>
        <bottom/>
      </border>
    </dxf>
    <dxf>
      <alignment horizontal="left" vertical="center" wrapText="1"/>
    </dxf>
    <dxf>
      <font>
        <name val="Arial"/>
        <strike val="0"/>
        <outline val="0"/>
        <shadow val="0"/>
        <sz val="10"/>
        <vertAlign val="baseline"/>
      </font>
      <numFmt numFmtId="0" formatCode="General"/>
      <alignment horizontal="left" vertical="center" wrapText="1"/>
      <border outline="0">
        <left style="thin">
          <color indexed="64"/>
        </left>
        <right/>
        <top style="thin">
          <color indexed="64"/>
        </top>
        <bottom style="thin">
          <color indexed="64"/>
        </bottom>
      </border>
    </dxf>
    <dxf>
      <alignment horizontal="center" vertical="center"/>
    </dxf>
    <dxf>
      <font>
        <name val="Arial"/>
        <strike val="0"/>
        <outline val="0"/>
        <shadow val="0"/>
        <sz val="10"/>
        <vertAlign val="baseline"/>
      </font>
      <numFmt numFmtId="164" formatCode="dd\-mmm\-yy"/>
      <alignment horizontal="center" vertical="center" wrapText="1"/>
      <border outline="0">
        <left style="thin">
          <color indexed="64"/>
        </left>
        <right style="thin">
          <color indexed="64"/>
        </right>
        <top style="thin">
          <color indexed="64"/>
        </top>
        <bottom style="thin">
          <color indexed="64"/>
        </bottom>
      </border>
    </dxf>
    <dxf>
      <alignment horizontal="center" vertical="center"/>
    </dxf>
    <dxf>
      <font>
        <name val="Arial"/>
        <strike val="0"/>
        <outline val="0"/>
        <shadow val="0"/>
        <sz val="10"/>
        <vertAlign val="baseline"/>
      </font>
      <alignment horizontal="center" vertical="center" wrapText="1"/>
      <border outline="0">
        <left style="thin">
          <color indexed="64"/>
        </left>
        <right style="thin">
          <color indexed="64"/>
        </right>
        <top style="thin">
          <color indexed="64"/>
        </top>
        <bottom style="thin">
          <color indexed="64"/>
        </bottom>
      </border>
    </dxf>
    <dxf>
      <alignment horizontal="center" vertical="center" wrapText="1"/>
    </dxf>
    <dxf>
      <font>
        <name val="Arial"/>
        <strike val="0"/>
        <outline val="0"/>
        <shadow val="0"/>
        <sz val="10"/>
        <vertAlign val="baseline"/>
      </font>
      <numFmt numFmtId="30" formatCode="@"/>
      <alignment horizontal="center" vertical="center" wrapText="1"/>
      <border outline="0">
        <left style="thin">
          <color indexed="64"/>
        </left>
        <right style="thin">
          <color indexed="64"/>
        </right>
        <top style="thin">
          <color indexed="64"/>
        </top>
        <bottom style="thin">
          <color indexed="64"/>
        </bottom>
      </border>
    </dxf>
    <dxf>
      <alignment horizontal="left" vertical="center" wrapText="1"/>
    </dxf>
    <dxf>
      <font>
        <name val="Arial"/>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wrapText="1"/>
    </dxf>
    <dxf>
      <font>
        <name val="Arial"/>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dxf>
    <dxf>
      <font>
        <name val="Arial"/>
        <strike val="0"/>
        <outline val="0"/>
        <shadow val="0"/>
        <sz val="10"/>
        <vertAlign val="baseline"/>
      </font>
      <alignment horizontal="left" vertical="center" wrapText="1"/>
      <border outline="0">
        <left style="thin">
          <color indexed="64"/>
        </left>
        <right style="thin">
          <color indexed="64"/>
        </right>
        <top style="thin">
          <color indexed="64"/>
        </top>
        <bottom style="thin">
          <color indexed="64"/>
        </bottom>
      </border>
    </dxf>
    <dxf>
      <alignment horizontal="left" vertical="center"/>
    </dxf>
    <dxf>
      <font>
        <name val="Arial"/>
        <strike val="0"/>
        <outline val="0"/>
        <shadow val="0"/>
        <sz val="10"/>
        <vertAlign val="baseline"/>
      </font>
      <numFmt numFmtId="164" formatCode="dd\-mmm\-yy"/>
      <alignment horizontal="left" vertical="center" wrapText="1"/>
      <border outline="0">
        <left style="thin">
          <color indexed="64"/>
        </left>
        <right style="thin">
          <color indexed="64"/>
        </right>
        <top style="thin">
          <color indexed="64"/>
        </top>
        <bottom style="thin">
          <color indexed="64"/>
        </bottom>
      </border>
    </dxf>
    <dxf>
      <alignment horizontal="left" vertical="center" wrapText="1"/>
    </dxf>
    <dxf>
      <font>
        <name val="Arial"/>
        <strike val="0"/>
        <outline val="0"/>
        <shadow val="0"/>
        <sz val="10"/>
        <vertAlign val="baseline"/>
      </font>
      <alignment horizontal="left" vertical="center" wrapText="1"/>
      <border outline="0">
        <left/>
        <right style="thin">
          <color indexed="64"/>
        </right>
        <top style="thin">
          <color indexed="64"/>
        </top>
        <bottom style="thin">
          <color indexed="64"/>
        </bottom>
      </border>
    </dxf>
    <dxf>
      <border outline="0">
        <top style="medium">
          <color rgb="FF000000"/>
        </top>
      </border>
    </dxf>
    <dxf>
      <font>
        <name val="Arial"/>
        <strike val="0"/>
        <outline val="0"/>
        <shadow val="0"/>
        <sz val="10"/>
        <vertAlign val="baseline"/>
      </font>
      <numFmt numFmtId="30" formatCode="@"/>
      <alignment wrapText="1"/>
    </dxf>
    <dxf>
      <border outline="0">
        <bottom style="medium">
          <color rgb="FF000000"/>
        </bottom>
      </border>
    </dxf>
    <dxf>
      <font>
        <name val="Arial"/>
        <b val="1"/>
        <strike val="0"/>
        <outline val="0"/>
        <shadow val="0"/>
        <condense val="0"/>
        <color theme="1"/>
        <extend val="0"/>
        <sz val="10"/>
        <vertAlign val="baseline"/>
      </font>
      <numFmt numFmtId="30" formatCode="@"/>
      <fill>
        <patternFill patternType="solid">
          <fgColor indexed="64"/>
          <bgColor theme="0" tint="-0.249977111117893"/>
        </patternFill>
      </fill>
      <alignment horizontal="center" vertical="center" wrapText="1"/>
      <border outline="0">
        <left style="thin">
          <color indexed="64"/>
        </left>
        <right style="thin">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a2245678912111013141516172" displayName="Tabla2245678912111013141516172" ref="A7:I67" headerRowCount="1" totalsRowShown="0" headerRowDxfId="43" dataDxfId="41" headerRowBorderDxfId="42" tableBorderDxfId="40">
  <autoFilter ref="A7:I67"/>
  <tableColumns count="9">
    <tableColumn id="7" name="TIPO DE ACTIVIDAD" dataDxfId="39" totalsRowDxfId="38"/>
    <tableColumn id="1" name="FECHA" dataDxfId="37" totalsRowDxfId="36"/>
    <tableColumn id="3" name="DEPENDENCIA" dataDxfId="35" totalsRowDxfId="34"/>
    <tableColumn id="4" name="SOLICITANTE" dataDxfId="33" totalsRowDxfId="32"/>
    <tableColumn id="5" name="TIPO DE SOLICITUD" dataDxfId="31" totalsRowDxfId="30"/>
    <tableColumn id="6" name="MEDIO DE SOLICITUD" dataDxfId="29" totalsRowDxfId="28"/>
    <tableColumn id="8" name="CUMPLIDO" dataDxfId="27" totalsRowDxfId="26"/>
    <tableColumn id="9" name="FECHA ATENCIÓN" dataDxfId="25" totalsRowDxfId="24"/>
    <tableColumn id="10" name="OBSERVACIONES" dataDxfId="23" totalsRowDxfId="22"/>
  </tableColumns>
  <tableStyleInfo name="TableStyleLight8" showFirstColumn="0" showLastColumn="0" showRowStripes="1" showColumnStripes="0"/>
</table>
</file>

<file path=xl/tables/table2.xml><?xml version="1.0" encoding="utf-8"?>
<table xmlns="http://schemas.openxmlformats.org/spreadsheetml/2006/main" id="2" name="Tabla224567891211101314151617" displayName="Tabla224567891211101314151617" ref="A7:I59" headerRowCount="1" totalsRowShown="0" headerRowDxfId="21" dataDxfId="19" headerRowBorderDxfId="20" tableBorderDxfId="18">
  <autoFilter ref="A7:I59"/>
  <tableColumns count="9">
    <tableColumn id="7" name="TIPO DE ACTIVIDAD" dataDxfId="17" totalsRowDxfId="16"/>
    <tableColumn id="1" name="FECHA" dataDxfId="15" totalsRowDxfId="14"/>
    <tableColumn id="3" name="DEPENDENCIA" dataDxfId="13" totalsRowDxfId="12"/>
    <tableColumn id="4" name="SOLICITANTE" dataDxfId="11" totalsRowDxfId="10"/>
    <tableColumn id="5" name="TIPO DE SOLICITUD" dataDxfId="9" totalsRowDxfId="8"/>
    <tableColumn id="6" name="MEDIO DE SOLICITUD" dataDxfId="7" totalsRowDxfId="6"/>
    <tableColumn id="8" name="CUMPLIDO" dataDxfId="5" totalsRowDxfId="4"/>
    <tableColumn id="9" name="FECHA ATENCIÓN" dataDxfId="3" totalsRowDxfId="2"/>
    <tableColumn id="10" name="OBSERVACIONES" dataDxfId="1" totalsRow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J101"/>
  <sheetViews>
    <sheetView tabSelected="1" zoomScaleNormal="100" workbookViewId="0">
      <selection activeCell="C5" sqref="C5:J5"/>
    </sheetView>
  </sheetViews>
  <sheetFormatPr baseColWidth="10" defaultRowHeight="12.75"/>
  <cols>
    <col width="32" customWidth="1" style="46" min="1" max="1"/>
    <col width="12.140625" bestFit="1" customWidth="1" style="69" min="2" max="2"/>
    <col width="12.140625" customWidth="1" style="46" min="3" max="3"/>
    <col width="15.42578125" bestFit="1" customWidth="1" style="46" min="4" max="4"/>
    <col width="14.7109375" customWidth="1" style="46" min="5" max="5"/>
    <col width="15.140625" customWidth="1" style="46" min="6" max="6"/>
    <col width="10.85546875" customWidth="1" style="46" min="7" max="7"/>
    <col width="10.5703125" customWidth="1" style="46" min="8" max="8"/>
    <col width="56.140625" customWidth="1" style="46" min="9" max="9"/>
    <col width="0.140625" customWidth="1" style="46" min="10" max="10"/>
    <col width="26.42578125" customWidth="1" style="46" min="11" max="11"/>
    <col width="11.42578125" customWidth="1" style="46" min="12" max="16384"/>
  </cols>
  <sheetData>
    <row r="1">
      <c r="A1" s="75" t="inlineStr">
        <is>
          <t>INFORME DE TAREAS POR CADA UNA DE LA ACTIVIDADES DEL CONTRATO DE PRESTACIÓN DE SERVICIOS</t>
        </is>
      </c>
      <c r="B1" s="98" t="n"/>
      <c r="C1" s="98" t="n"/>
      <c r="D1" s="98" t="n"/>
      <c r="E1" s="98" t="n"/>
      <c r="F1" s="98" t="n"/>
      <c r="G1" s="98" t="n"/>
      <c r="H1" s="98" t="n"/>
      <c r="I1" s="98" t="n"/>
      <c r="J1" s="99" t="n"/>
    </row>
    <row r="2">
      <c r="A2" s="75" t="inlineStr">
        <is>
          <t>No. CONVENIO O CONTRATO:</t>
        </is>
      </c>
      <c r="B2" s="99" t="n"/>
      <c r="C2" s="76" t="inlineStr">
        <is>
          <t>2026.10.05.06.035</t>
        </is>
      </c>
      <c r="D2" s="98" t="n"/>
      <c r="E2" s="98" t="n"/>
      <c r="F2" s="98" t="n"/>
      <c r="G2" s="98" t="n"/>
      <c r="H2" s="98" t="n"/>
      <c r="I2" s="98" t="n"/>
      <c r="J2" s="99" t="n"/>
    </row>
    <row r="3" ht="26.25" customHeight="1">
      <c r="A3" s="75" t="inlineStr">
        <is>
          <t>OBJETO DEL CONTRATO:</t>
        </is>
      </c>
      <c r="B3" s="99" t="n"/>
      <c r="C3" s="77" t="inlineStr">
        <is>
          <t>CONTRATO DE PRESTACIÓN DE SERVICIOS DE APOYO A LA GESTION PARA LA ASISTENCIA TECNICAEN TODA LA INFRAESTRUCTURA TECNOLÓGICA DE LA ADMINISTRACIÓN MUNICIPAL DE LA CEJA DEL TAMBO</t>
        </is>
      </c>
      <c r="D3" s="98" t="n"/>
      <c r="E3" s="98" t="n"/>
      <c r="F3" s="98" t="n"/>
      <c r="G3" s="98" t="n"/>
      <c r="H3" s="98" t="n"/>
      <c r="I3" s="98" t="n"/>
      <c r="J3" s="99" t="n"/>
    </row>
    <row r="4">
      <c r="A4" s="75" t="inlineStr">
        <is>
          <t>NOMBRE DEL CONTRATISTA:</t>
        </is>
      </c>
      <c r="B4" s="99" t="n"/>
      <c r="C4" s="76" t="inlineStr">
        <is>
          <t>ADMIN</t>
        </is>
      </c>
      <c r="D4" s="98" t="n"/>
      <c r="E4" s="98" t="n"/>
      <c r="F4" s="98" t="n"/>
      <c r="G4" s="98" t="n"/>
      <c r="H4" s="98" t="n"/>
      <c r="I4" s="98" t="n"/>
      <c r="J4" s="99" t="n"/>
    </row>
    <row r="5">
      <c r="A5" s="75" t="inlineStr">
        <is>
          <t>No DE IDENTIFICACIÓN:</t>
        </is>
      </c>
      <c r="B5" s="99" t="n"/>
      <c r="C5" s="80" t="inlineStr">
        <is>
          <t>1,036,964,737</t>
        </is>
      </c>
      <c r="D5" s="98" t="n"/>
      <c r="E5" s="98" t="n"/>
      <c r="F5" s="98" t="n"/>
      <c r="G5" s="98" t="n"/>
      <c r="H5" s="98" t="n"/>
      <c r="I5" s="98" t="n"/>
      <c r="J5" s="99" t="n"/>
    </row>
    <row r="6">
      <c r="A6" s="75" t="inlineStr">
        <is>
          <t>FECHA DE ACTIVIDADES:</t>
        </is>
      </c>
      <c r="B6" s="99" t="n"/>
      <c r="C6" s="76" t="inlineStr">
        <is>
          <t>09/02/2026 al 09/02/2026</t>
        </is>
      </c>
      <c r="D6" s="98" t="n"/>
      <c r="E6" s="98" t="n"/>
      <c r="F6" s="98" t="n"/>
      <c r="G6" s="98" t="n"/>
      <c r="H6" s="98" t="n"/>
      <c r="I6" s="98" t="n"/>
      <c r="J6" s="99" t="n"/>
    </row>
    <row r="7" ht="25.5" customHeight="1">
      <c r="A7" s="47" t="inlineStr">
        <is>
          <t>TIPO DE ACTIVIDAD</t>
        </is>
      </c>
      <c r="B7" s="48" t="inlineStr">
        <is>
          <t>FECHA</t>
        </is>
      </c>
      <c r="C7" s="49" t="inlineStr">
        <is>
          <t>DEPENDENCIA</t>
        </is>
      </c>
      <c r="D7" s="50" t="inlineStr">
        <is>
          <t>SOLICITANTE</t>
        </is>
      </c>
      <c r="E7" s="50" t="inlineStr">
        <is>
          <t>TIPO DE SOLICITUD</t>
        </is>
      </c>
      <c r="F7" s="47" t="inlineStr">
        <is>
          <t>MEDIO DE SOLICITUD</t>
        </is>
      </c>
      <c r="G7" s="47" t="inlineStr">
        <is>
          <t>CUMPLIDO</t>
        </is>
      </c>
      <c r="H7" s="47" t="inlineStr">
        <is>
          <t>FECHA ATENCIÓN</t>
        </is>
      </c>
      <c r="I7" s="50" t="inlineStr">
        <is>
          <t>OBSERVACIONES</t>
        </is>
      </c>
    </row>
    <row r="8" ht="102" customFormat="1" customHeight="1" s="52">
      <c r="A8" s="57" t="inlineStr">
        <is>
          <t>Colaborar en la implementación y seguimiento de medidas básicas de seguridad informática, tales como el monitoreo de alertas básicas, cierre adecuado de sesiones y cumplimiento de rutinas establecidas para el uso seguro de los recursos tecnológicos.</t>
        </is>
      </c>
      <c r="B8" s="57" t="inlineStr">
        <is>
          <t>2026-02-09 09:00:06</t>
        </is>
      </c>
      <c r="C8" s="57" t="inlineStr">
        <is>
          <t>ALCALDÍA</t>
        </is>
      </c>
      <c r="D8" s="57" t="inlineStr">
        <is>
          <t>Prueba</t>
        </is>
      </c>
      <c r="E8" s="57" t="inlineStr">
        <is>
          <t>MANTENIMIENTO CORRECTIVO</t>
        </is>
      </c>
      <c r="F8" s="57" t="inlineStr">
        <is>
          <t>INTRANET</t>
        </is>
      </c>
      <c r="G8" s="57" t="inlineStr">
        <is>
          <t>Sí</t>
        </is>
      </c>
      <c r="H8" s="57" t="inlineStr">
        <is>
          <t>2026-02-16</t>
        </is>
      </c>
      <c r="I8" s="57" t="inlineStr">
        <is>
          <t>Prueba</t>
        </is>
      </c>
    </row>
    <row r="9" ht="102" customFormat="1" customHeight="1" s="52">
      <c r="A9" s="57" t="inlineStr">
        <is>
          <t>TOTAL Colaborar en la implementación y seguimiento de medidas básicas de seguridad informática, tales como el monitoreo de alertas básicas, cierre adecuado de sesiones y cumplimiento de rutinas establecidas para el uso seguro de los recursos tecnológicos.</t>
        </is>
      </c>
      <c r="B9" s="57" t="inlineStr">
        <is>
          <t>2026-01-08</t>
        </is>
      </c>
      <c r="C9" s="57" t="inlineStr">
        <is>
          <t>ALCALDÍA</t>
        </is>
      </c>
      <c r="D9" s="57" t="inlineStr">
        <is>
          <t>Marleny</t>
        </is>
      </c>
      <c r="E9" s="57" t="inlineStr">
        <is>
          <t>APOYO TECNOLÓGICO</t>
        </is>
      </c>
      <c r="F9" s="57" t="inlineStr">
        <is>
          <t>LLAMADA TELEFONICA</t>
        </is>
      </c>
      <c r="G9" s="100" t="n">
        <v>1</v>
      </c>
      <c r="H9" s="57" t="inlineStr">
        <is>
          <t>2026-01-08</t>
        </is>
      </c>
      <c r="I9" s="57" t="inlineStr">
        <is>
          <t>Se solicita la revision con respecto a un error con el escaner al momento de guardar la informacion, se revisa y reinicia el equipo y la impresora, esta funciona correctamente y se le deja evidenciado al funcionario</t>
        </is>
      </c>
    </row>
    <row r="10" ht="102" customFormat="1" customHeight="1" s="52">
      <c r="A10" s="101" t="inlineStr">
        <is>
          <t>TOTAL GENERAL</t>
        </is>
      </c>
      <c r="B10" s="57" t="inlineStr">
        <is>
          <t>2026-01-14</t>
        </is>
      </c>
      <c r="C10" s="57" t="inlineStr">
        <is>
          <t>DESARROLLO COMUNITARIO</t>
        </is>
      </c>
      <c r="D10" s="57" t="inlineStr">
        <is>
          <t>Lina Maria</t>
        </is>
      </c>
      <c r="E10" s="57" t="inlineStr">
        <is>
          <t>MANTENIMIENTO CORRECTIVO</t>
        </is>
      </c>
      <c r="F10" s="57" t="inlineStr">
        <is>
          <t>SOLICITUD VERBAL</t>
        </is>
      </c>
      <c r="G10" s="101" t="n">
        <v>1</v>
      </c>
      <c r="H10" s="57" t="inlineStr">
        <is>
          <t>2026-01-14</t>
        </is>
      </c>
      <c r="I10" s="57" t="inlineStr">
        <is>
          <t>Se solicita la conexion a la impresora para que la funcionaria pueda imprimir desde el equipo, se hace la revision de la conexion y se le deja evidenciado el funcionamiento normal de la impresora</t>
        </is>
      </c>
    </row>
    <row r="11" ht="102" customFormat="1" customHeight="1" s="52">
      <c r="A11"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1" s="57" t="inlineStr">
        <is>
          <t>2026-01-21</t>
        </is>
      </c>
      <c r="C11" s="57" t="inlineStr">
        <is>
          <t>DESARROLLO ECONOMICO</t>
        </is>
      </c>
      <c r="D11" s="57" t="inlineStr">
        <is>
          <t>Uriel</t>
        </is>
      </c>
      <c r="E11" s="57" t="inlineStr">
        <is>
          <t>APOYO TECNOLÓGICO</t>
        </is>
      </c>
      <c r="F11" s="57" t="inlineStr">
        <is>
          <t>SOLICITUD VERBAL</t>
        </is>
      </c>
      <c r="G11" s="57" t="inlineStr">
        <is>
          <t>Sí</t>
        </is>
      </c>
      <c r="H11" s="57" t="inlineStr">
        <is>
          <t>2026-01-21</t>
        </is>
      </c>
      <c r="I11" s="57" t="inlineStr">
        <is>
          <t>Se solicita la conexion a la impresora del equipo de apoyo, se hace la revisionrespectiva a la conexion y se conecta el equipo con la impresora, se prueba con una impresion y se evidencia el funcionamiento</t>
        </is>
      </c>
    </row>
    <row r="12" ht="102" customFormat="1" customHeight="1" s="52">
      <c r="A12"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2" s="57" t="inlineStr">
        <is>
          <t>2026-01-21</t>
        </is>
      </c>
      <c r="C12" s="57" t="inlineStr">
        <is>
          <t>DESARROLLO ECONOMICO</t>
        </is>
      </c>
      <c r="D12" s="57" t="inlineStr">
        <is>
          <t>Yuli</t>
        </is>
      </c>
      <c r="E12" s="57" t="inlineStr">
        <is>
          <t>APOYO TECNOLÓGICO</t>
        </is>
      </c>
      <c r="F12" s="57" t="inlineStr">
        <is>
          <t>SOLICITUD VERBAL</t>
        </is>
      </c>
      <c r="G12" s="57" t="inlineStr">
        <is>
          <t>Sí</t>
        </is>
      </c>
      <c r="H12" s="57" t="inlineStr">
        <is>
          <t>2026-01-21</t>
        </is>
      </c>
      <c r="I12" s="57" t="inlineStr">
        <is>
          <t>Se solicita la conexion a la impresora para que el solicitante pueda imprimir, se realiza la conexion y se le solicita a la funcionaria que imprima, se imprime el documento y se le entraga a la funcionaria</t>
        </is>
      </c>
    </row>
    <row r="13" ht="102" customFormat="1" customHeight="1" s="52">
      <c r="A13"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3" s="57" t="inlineStr">
        <is>
          <t>2026-01-22</t>
        </is>
      </c>
      <c r="C13" s="57" t="inlineStr">
        <is>
          <t>TESORERIA</t>
        </is>
      </c>
      <c r="D13" s="57" t="inlineStr">
        <is>
          <t>Gloria</t>
        </is>
      </c>
      <c r="E13" s="57" t="inlineStr">
        <is>
          <t>ASESORIA Y ASISTENCIA</t>
        </is>
      </c>
      <c r="F13" s="57" t="inlineStr">
        <is>
          <t>SOLICITUD VERBAL</t>
        </is>
      </c>
      <c r="G13" s="57" t="inlineStr">
        <is>
          <t>Sí</t>
        </is>
      </c>
      <c r="H13" s="57" t="inlineStr">
        <is>
          <t>2026-01-22</t>
        </is>
      </c>
      <c r="I13" s="57" t="inlineStr">
        <is>
          <t>Se solicita la revision con los documentos enviados a imprimir, pues la impresora no esta respondiendo ante los documentos, se cancelan los documentos a peticion de la funcionaria, y se prueba con un documento, se deja evidenciado que la impresora funciona normalmente</t>
        </is>
      </c>
    </row>
    <row r="14" ht="102" customFormat="1" customHeight="1" s="52">
      <c r="A14"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4" s="57" t="inlineStr">
        <is>
          <t>2026-01-22</t>
        </is>
      </c>
      <c r="C14" s="57" t="inlineStr">
        <is>
          <t>ALMACEN MUNICIPAL</t>
        </is>
      </c>
      <c r="D14" s="57" t="inlineStr">
        <is>
          <t>Carolina</t>
        </is>
      </c>
      <c r="E14" s="57" t="inlineStr">
        <is>
          <t>MANTENIMIENTO CORRECTIVO</t>
        </is>
      </c>
      <c r="F14" s="57" t="inlineStr">
        <is>
          <t>SOLICITUD VERBAL</t>
        </is>
      </c>
      <c r="G14" s="57" t="inlineStr">
        <is>
          <t>Sí</t>
        </is>
      </c>
      <c r="H14" s="57" t="inlineStr">
        <is>
          <t>2026-01-22</t>
        </is>
      </c>
      <c r="I14" s="57"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15" ht="102" customFormat="1" customHeight="1" s="52">
      <c r="A15"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5" s="57" t="inlineStr">
        <is>
          <t>2026-01-23</t>
        </is>
      </c>
      <c r="C15" s="57" t="inlineStr">
        <is>
          <t>ALMACEN MUNICIPAL</t>
        </is>
      </c>
      <c r="D15" s="57" t="inlineStr">
        <is>
          <t>Natalia</t>
        </is>
      </c>
      <c r="E15" s="57" t="inlineStr">
        <is>
          <t>MANTENIMIENTO CORRECTIVO</t>
        </is>
      </c>
      <c r="F15" s="57" t="inlineStr">
        <is>
          <t>SOLICITUD VERBAL</t>
        </is>
      </c>
      <c r="G15" s="57" t="inlineStr">
        <is>
          <t>Sí</t>
        </is>
      </c>
      <c r="H15" s="57" t="inlineStr">
        <is>
          <t>2026-01-23</t>
        </is>
      </c>
      <c r="I15" s="57"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16" ht="102" customFormat="1" customHeight="1" s="52">
      <c r="A16"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6" s="57" t="inlineStr">
        <is>
          <t>2026-01-23</t>
        </is>
      </c>
      <c r="C16" s="57" t="inlineStr">
        <is>
          <t>ALMACEN MUNICIPAL</t>
        </is>
      </c>
      <c r="D16" s="57" t="inlineStr">
        <is>
          <t>Camila</t>
        </is>
      </c>
      <c r="E16" s="57" t="inlineStr">
        <is>
          <t>MANTENIMIENTO CORRECTIVO</t>
        </is>
      </c>
      <c r="F16" s="57" t="inlineStr">
        <is>
          <t>SOLICITUD VERBAL</t>
        </is>
      </c>
      <c r="G16" s="57" t="inlineStr">
        <is>
          <t>Sí</t>
        </is>
      </c>
      <c r="H16" s="57" t="inlineStr">
        <is>
          <t>2026-01-23</t>
        </is>
      </c>
      <c r="I16" s="57"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17" ht="102" customFormat="1" customHeight="1" s="52">
      <c r="A17"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7" s="57" t="inlineStr">
        <is>
          <t>2026-01-23</t>
        </is>
      </c>
      <c r="C17" s="57" t="inlineStr">
        <is>
          <t>GESTION HUMANA</t>
        </is>
      </c>
      <c r="D17" s="57" t="inlineStr">
        <is>
          <t>Lorena</t>
        </is>
      </c>
      <c r="E17" s="57" t="inlineStr">
        <is>
          <t>MANTENIMIENTO CORRECTIVO</t>
        </is>
      </c>
      <c r="F17" s="57" t="inlineStr">
        <is>
          <t>SOLICITUD VERBAL</t>
        </is>
      </c>
      <c r="G17" s="57" t="inlineStr">
        <is>
          <t>Sí</t>
        </is>
      </c>
      <c r="H17" s="57" t="inlineStr">
        <is>
          <t>2026-01-23</t>
        </is>
      </c>
      <c r="I17" s="57"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18" ht="102" customFormat="1" customHeight="1" s="52">
      <c r="A18"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8" s="57" t="inlineStr">
        <is>
          <t>2026-01-23</t>
        </is>
      </c>
      <c r="C18" s="57" t="inlineStr">
        <is>
          <t>GESTION HUMANA</t>
        </is>
      </c>
      <c r="D18" s="57" t="inlineStr">
        <is>
          <t>Hugo</t>
        </is>
      </c>
      <c r="E18" s="57" t="inlineStr">
        <is>
          <t>MANTENIMIENTO CORRECTIVO</t>
        </is>
      </c>
      <c r="F18" s="57" t="inlineStr">
        <is>
          <t>SOLICITUD VERBAL</t>
        </is>
      </c>
      <c r="G18" s="57" t="inlineStr">
        <is>
          <t>Sí</t>
        </is>
      </c>
      <c r="H18" s="57" t="inlineStr">
        <is>
          <t>2026-01-23</t>
        </is>
      </c>
      <c r="I18" s="57" t="inlineStr">
        <is>
          <t xml:space="preserve">Se solicita la conexión del equipo a la impresora de Ejecuciones Fiscales para que la funcionaria pueda imprimir, se le hace la conexión a la impresora y se le solicita a la funcionaria que envié a imprimir un documento, se le evidencia a la funcionaria la conexión con la impresora </t>
        </is>
      </c>
    </row>
    <row r="19" ht="102" customFormat="1" customHeight="1" s="52">
      <c r="A19"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19" s="57" t="inlineStr">
        <is>
          <t>2026-01-26</t>
        </is>
      </c>
      <c r="C19" s="57" t="inlineStr">
        <is>
          <t>PLANEACIÓN</t>
        </is>
      </c>
      <c r="D19" s="57" t="inlineStr">
        <is>
          <t>Santiago</t>
        </is>
      </c>
      <c r="E19" s="57" t="inlineStr">
        <is>
          <t>MANTENIMIENTO CORRECTIVO</t>
        </is>
      </c>
      <c r="F19" s="57" t="inlineStr">
        <is>
          <t>SOLICITUD VERBAL</t>
        </is>
      </c>
      <c r="G19" s="57" t="inlineStr">
        <is>
          <t>Sí</t>
        </is>
      </c>
      <c r="H19" s="57" t="inlineStr">
        <is>
          <t>2026-01-26</t>
        </is>
      </c>
      <c r="I19" s="57" t="inlineStr">
        <is>
          <t>Se solicita la recarga tinta a la impresora del funcionario, se hace la recarga correspondiente y se le deja evidenciado al funcionario la recarga de tinta</t>
        </is>
      </c>
    </row>
    <row r="20" ht="102" customFormat="1" customHeight="1" s="52">
      <c r="A20"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0" s="57" t="inlineStr">
        <is>
          <t>2026-01-27</t>
        </is>
      </c>
      <c r="C20" s="57" t="inlineStr">
        <is>
          <t>CATASTRO</t>
        </is>
      </c>
      <c r="D20" s="57" t="inlineStr">
        <is>
          <t>Susana</t>
        </is>
      </c>
      <c r="E20" s="57" t="inlineStr">
        <is>
          <t>MANTENIMIENTO CORRECTIVO</t>
        </is>
      </c>
      <c r="F20" s="57" t="inlineStr">
        <is>
          <t>LLAMADA TELEFONICA</t>
        </is>
      </c>
      <c r="G20" s="57" t="inlineStr">
        <is>
          <t>Sí</t>
        </is>
      </c>
      <c r="H20" s="57" t="inlineStr">
        <is>
          <t>2026-01-27</t>
        </is>
      </c>
      <c r="I20" s="57" t="inlineStr">
        <is>
          <t>Se solicita la revision del equipo con la conexion a la impresora, se hace la revision correspondiente con la conexion y se le deja a la funcionaria el funcionamiento de la impresora</t>
        </is>
      </c>
    </row>
    <row r="21" ht="102" customFormat="1" customHeight="1" s="52">
      <c r="A21"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1" s="57" t="inlineStr">
        <is>
          <t>2026-01-27</t>
        </is>
      </c>
      <c r="C21" s="57" t="inlineStr">
        <is>
          <t>CONTRATACION</t>
        </is>
      </c>
      <c r="D21" s="57" t="inlineStr">
        <is>
          <t>Andres</t>
        </is>
      </c>
      <c r="E21" s="57" t="inlineStr">
        <is>
          <t>MANTENIMIENTO CORRECTIVO</t>
        </is>
      </c>
      <c r="F21" s="57" t="inlineStr">
        <is>
          <t>LLAMADA TELEFONICA</t>
        </is>
      </c>
      <c r="G21" s="57" t="inlineStr">
        <is>
          <t>Sí</t>
        </is>
      </c>
      <c r="H21" s="57" t="inlineStr">
        <is>
          <t>2026-01-27</t>
        </is>
      </c>
      <c r="I21" s="57" t="inlineStr">
        <is>
          <t>Se solicita la revision del equipo por la sobre tensionn de la RAM que ha obstaculizado los procesos y el uso, se le hace un fresco de la ram y se le deja evidenciado una mejor capacidad de uso</t>
        </is>
      </c>
    </row>
    <row r="22" ht="102" customFormat="1" customHeight="1" s="52">
      <c r="A22"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2" s="57" t="inlineStr">
        <is>
          <t>2026-01-28</t>
        </is>
      </c>
      <c r="C22" s="57" t="inlineStr">
        <is>
          <t>OFICINA DE SISTEMAS</t>
        </is>
      </c>
      <c r="D22" s="57" t="inlineStr">
        <is>
          <t>Gustavo</t>
        </is>
      </c>
      <c r="E22" s="57" t="inlineStr">
        <is>
          <t>ASESORIA Y ASISTENCIA</t>
        </is>
      </c>
      <c r="F22" s="57" t="inlineStr">
        <is>
          <t>SOLICITUD VERBAL</t>
        </is>
      </c>
      <c r="G22" s="57" t="inlineStr">
        <is>
          <t>Sí</t>
        </is>
      </c>
      <c r="H22" s="57" t="inlineStr">
        <is>
          <t>2026-01-28</t>
        </is>
      </c>
      <c r="I22" s="57" t="inlineStr">
        <is>
          <t>Se solicita el cambio de contraseña para la intranet, se hace el cambio respectivo y se evidencia con el funcionario el acceso a su usuario</t>
        </is>
      </c>
    </row>
    <row r="23" ht="102" customFormat="1" customHeight="1" s="52">
      <c r="A23"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3" s="57" t="inlineStr">
        <is>
          <t>2026-01-28</t>
        </is>
      </c>
      <c r="C23" s="57" t="inlineStr">
        <is>
          <t>DESARROLLO COMUNITARIO</t>
        </is>
      </c>
      <c r="D23" s="57" t="inlineStr">
        <is>
          <t>Ulises</t>
        </is>
      </c>
      <c r="E23" s="57" t="inlineStr">
        <is>
          <t>MANTENIMIENTO CORRECTIVO</t>
        </is>
      </c>
      <c r="F23" s="57" t="inlineStr">
        <is>
          <t>LLAMADA TELEFONICA</t>
        </is>
      </c>
      <c r="G23" s="57" t="inlineStr">
        <is>
          <t>Sí</t>
        </is>
      </c>
      <c r="H23" s="57" t="inlineStr">
        <is>
          <t>2026-01-28</t>
        </is>
      </c>
      <c r="I23" s="57" t="inlineStr">
        <is>
          <t>Se solicita la conjexion del equipo del funcionario a la impresora, permitiendo escanear e imprimir, se le conecta el equipo a la impresora y se le muestra al funcionario que ya imprime</t>
        </is>
      </c>
    </row>
    <row r="24" ht="102" customFormat="1" customHeight="1" s="52">
      <c r="A24"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4" s="57" t="inlineStr">
        <is>
          <t>2026-01-28</t>
        </is>
      </c>
      <c r="C24" s="57" t="inlineStr">
        <is>
          <t>Subsecretaria de Medioambiente</t>
        </is>
      </c>
      <c r="D24" s="57" t="inlineStr">
        <is>
          <t>Ana</t>
        </is>
      </c>
      <c r="E24" s="57" t="inlineStr">
        <is>
          <t>MANTENIMIENTO CORRECTIVO</t>
        </is>
      </c>
      <c r="F24" s="57" t="inlineStr">
        <is>
          <t>SOLICITUD VERBAL</t>
        </is>
      </c>
      <c r="G24" s="57" t="inlineStr">
        <is>
          <t>Sí</t>
        </is>
      </c>
      <c r="H24" s="57" t="inlineStr">
        <is>
          <t>2026-01-28</t>
        </is>
      </c>
      <c r="I24" s="57" t="inlineStr">
        <is>
          <t>Se solicita la conjexion del equipo del funcionario a la impresora, permitiendo escanear e imprimir, se le conecta el equipo a la impresora y se le muestra al funcionario que ya imprime</t>
        </is>
      </c>
    </row>
    <row r="25" ht="102" customFormat="1" customHeight="1" s="52">
      <c r="A25" s="57" t="inlineStr">
        <is>
          <t>Brindar apoyo en la atención de requerimientos técnicos de primer nivel a los usuarios de la Administración Municipal, atendiendo incidentes relacionados con el funcionamiento de equipos de cómputo, impresoras, configuración de software y otros periféricos.</t>
        </is>
      </c>
      <c r="B25" s="57" t="inlineStr">
        <is>
          <t>2026-01-28</t>
        </is>
      </c>
      <c r="C25" s="57" t="inlineStr">
        <is>
          <t>Subsecretaria de Medioambiente</t>
        </is>
      </c>
      <c r="D25" s="57" t="inlineStr">
        <is>
          <t>Melida</t>
        </is>
      </c>
      <c r="E25" s="57" t="inlineStr">
        <is>
          <t>MANTENIMIENTO CORRECTIVO</t>
        </is>
      </c>
      <c r="F25" s="57" t="inlineStr">
        <is>
          <t>SOLICITUD VERBAL</t>
        </is>
      </c>
      <c r="G25" s="57" t="inlineStr">
        <is>
          <t>Sí</t>
        </is>
      </c>
      <c r="H25" s="57" t="inlineStr">
        <is>
          <t>2026-01-28</t>
        </is>
      </c>
      <c r="I25" s="57" t="inlineStr">
        <is>
          <t>Se solicita la conjexion del equipo del funcionario a la impresora, permitiendo escanear e imprimir, se le conecta el equipo a la impresora y se le muestra al funcionario que ya imprime</t>
        </is>
      </c>
    </row>
    <row r="26">
      <c r="A26" s="71" t="inlineStr">
        <is>
          <t>Actividades: 18</t>
        </is>
      </c>
      <c r="B26" s="64" t="n"/>
      <c r="C26" s="59" t="n"/>
      <c r="D26" s="59" t="n"/>
      <c r="E26" s="72" t="n"/>
      <c r="F26" s="56" t="n"/>
      <c r="G26" s="57" t="n"/>
      <c r="H26" s="64" t="n"/>
      <c r="I26" s="59" t="n"/>
      <c r="J26" s="60" t="n"/>
    </row>
    <row r="27" ht="102" customHeight="1">
      <c r="A27" s="57" t="inlineStr">
        <is>
          <t>Apoyar en el mantenimiento preventivo básico de equipos tecnológicos, realizando tareas como limpieza, revisión de cables, conectores y periféricos, con el objetivo de mantener en condiciones óptimas los recursos informáticos de la entidad.</t>
        </is>
      </c>
      <c r="B27" s="57" t="inlineStr">
        <is>
          <t>2026-01-08</t>
        </is>
      </c>
      <c r="C27" s="57" t="inlineStr">
        <is>
          <t>CENTRO DÍA</t>
        </is>
      </c>
      <c r="D27" s="57" t="inlineStr">
        <is>
          <t>Olga Mary</t>
        </is>
      </c>
      <c r="E27" s="57" t="inlineStr">
        <is>
          <t>MANTENIMIENTO CORRECTIVO</t>
        </is>
      </c>
      <c r="F27" s="57" t="inlineStr">
        <is>
          <t>SOLICITUD VERBAL</t>
        </is>
      </c>
      <c r="G27" s="57" t="inlineStr">
        <is>
          <t>Sí</t>
        </is>
      </c>
      <c r="H27" s="57" t="inlineStr">
        <is>
          <t>2026-01-08</t>
        </is>
      </c>
      <c r="I27" s="57" t="inlineStr">
        <is>
          <t>Se solicita la revision en la configuracion con respecto a la conexion a internet, debido a que estaba conectado al Wi-Fi, se revisa los cables y se deja funcionando normal la conexion</t>
        </is>
      </c>
    </row>
    <row r="28" ht="102" customHeight="1">
      <c r="A28" s="57" t="inlineStr">
        <is>
          <t>Apoyar en el mantenimiento preventivo básico de equipos tecnológicos, realizando tareas como limpieza, revisión de cables, conectores y periféricos, con el objetivo de mantener en condiciones óptimas los recursos informáticos de la entidad.</t>
        </is>
      </c>
      <c r="B28" s="57" t="inlineStr">
        <is>
          <t>2026-01-14</t>
        </is>
      </c>
      <c r="C28" s="57" t="inlineStr">
        <is>
          <t>DESARROLLO COMUNITARIO</t>
        </is>
      </c>
      <c r="D28" s="57" t="inlineStr">
        <is>
          <t>Ana</t>
        </is>
      </c>
      <c r="E28" s="57" t="inlineStr">
        <is>
          <t>MANTENIMIENTO CORRECTIVO</t>
        </is>
      </c>
      <c r="F28" s="57" t="inlineStr">
        <is>
          <t>SOLICITUD VERBAL</t>
        </is>
      </c>
      <c r="G28" s="57" t="inlineStr">
        <is>
          <t>Sí</t>
        </is>
      </c>
      <c r="H28" s="57" t="inlineStr">
        <is>
          <t>2026-01-14</t>
        </is>
      </c>
      <c r="I28" s="57" t="inlineStr">
        <is>
          <t>Se solicita la revision del funcionamiento de la impresora que funciona para la funcionaria y otros funcionarios, se organiza la impresora y se le deja conectada la impresora a la red</t>
        </is>
      </c>
    </row>
    <row r="29" ht="102" customHeight="1">
      <c r="A29" s="57" t="inlineStr">
        <is>
          <t>Apoyar en el mantenimiento preventivo básico de equipos tecnológicos, realizando tareas como limpieza, revisión de cables, conectores y periféricos, con el objetivo de mantener en condiciones óptimas los recursos informáticos de la entidad.</t>
        </is>
      </c>
      <c r="B29" s="57" t="inlineStr">
        <is>
          <t>2026-01-14</t>
        </is>
      </c>
      <c r="C29" s="57" t="inlineStr">
        <is>
          <t>DESARROLLO COMUNITARIO</t>
        </is>
      </c>
      <c r="D29" s="57" t="inlineStr">
        <is>
          <t>Ana</t>
        </is>
      </c>
      <c r="E29" s="57" t="inlineStr">
        <is>
          <t>MANTENIMIENTO CORRECTIVO</t>
        </is>
      </c>
      <c r="F29" s="57" t="inlineStr">
        <is>
          <t>SOLICITUD VERBAL</t>
        </is>
      </c>
      <c r="G29" s="57" t="inlineStr">
        <is>
          <t>Sí</t>
        </is>
      </c>
      <c r="H29" s="57" t="inlineStr">
        <is>
          <t>2026-01-14</t>
        </is>
      </c>
      <c r="I29" s="57" t="inlineStr">
        <is>
          <t>Se solicita la revision de impresion desde el dispositivo a la impresora, se le hace la conexion y se le deja evidenciada el funcionamiento de la conexion</t>
        </is>
      </c>
    </row>
    <row r="30" ht="102" customHeight="1">
      <c r="A30" s="57" t="inlineStr">
        <is>
          <t>Apoyar en el mantenimiento preventivo básico de equipos tecnológicos, realizando tareas como limpieza, revisión de cables, conectores y periféricos, con el objetivo de mantener en condiciones óptimas los recursos informáticos de la entidad.</t>
        </is>
      </c>
      <c r="B30" s="57" t="inlineStr">
        <is>
          <t>2026-01-15</t>
        </is>
      </c>
      <c r="C30" s="57" t="inlineStr">
        <is>
          <t>PLANEACIÓN</t>
        </is>
      </c>
      <c r="D30" s="57" t="inlineStr">
        <is>
          <t>Sebastian</t>
        </is>
      </c>
      <c r="E30" s="57" t="inlineStr">
        <is>
          <t>MANTENIMIENTO CORRECTIVO</t>
        </is>
      </c>
      <c r="F30" s="57" t="inlineStr">
        <is>
          <t>SOLICITUD VERBAL</t>
        </is>
      </c>
      <c r="G30" s="57" t="inlineStr">
        <is>
          <t>Sí</t>
        </is>
      </c>
      <c r="H30" s="57" t="inlineStr">
        <is>
          <t>2026-01-15</t>
        </is>
      </c>
      <c r="I30" s="57" t="inlineStr">
        <is>
          <t>Se solicita la revision de la conexion a internet del solicitante, se hace la revision de la conexion a internet, y se le deja evidenciado el funcionamiento normal del internet</t>
        </is>
      </c>
    </row>
    <row r="31">
      <c r="A31" s="53" t="inlineStr">
        <is>
          <t>Actividades: 4</t>
        </is>
      </c>
      <c r="B31" s="54" t="n"/>
      <c r="C31" s="59" t="n"/>
      <c r="D31" s="59" t="n"/>
      <c r="E31" s="59" t="n"/>
      <c r="F31" s="56" t="n"/>
      <c r="G31" s="57" t="n"/>
      <c r="H31" s="58" t="n"/>
      <c r="I31" s="59" t="n"/>
      <c r="J31" s="60" t="n"/>
    </row>
    <row r="32" ht="114.75" customHeight="1">
      <c r="A32" s="57"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B32" s="57" t="inlineStr">
        <is>
          <t>2026-01-14</t>
        </is>
      </c>
      <c r="C32" s="57" t="inlineStr">
        <is>
          <t>DESARROLLO COMUNITARIO</t>
        </is>
      </c>
      <c r="D32" s="57" t="inlineStr">
        <is>
          <t>Ana</t>
        </is>
      </c>
      <c r="E32" s="57" t="inlineStr">
        <is>
          <t>MANTENIMIENTO CORRECTIVO</t>
        </is>
      </c>
      <c r="F32" s="57" t="inlineStr">
        <is>
          <t>SOLICITUD VERBAL</t>
        </is>
      </c>
      <c r="G32" s="57" t="inlineStr">
        <is>
          <t>Sí</t>
        </is>
      </c>
      <c r="H32" s="57" t="inlineStr">
        <is>
          <t>2026-01-14</t>
        </is>
      </c>
      <c r="I32" s="57" t="inlineStr">
        <is>
          <t>Se solicita la revision del funcionamuento del wifi en la dependencia, se revisa el router y se evidencia que esta desconectado, se conecta el router y este muestra conexion, se le deja evidenciado el funcionamiento del Wi-Fi</t>
        </is>
      </c>
    </row>
    <row r="33" ht="114.75" customHeight="1">
      <c r="A33" s="57"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B33" s="57" t="inlineStr">
        <is>
          <t>2026-01-14</t>
        </is>
      </c>
      <c r="C33" s="57" t="inlineStr">
        <is>
          <t>DESARROLLO COMUNITARIO</t>
        </is>
      </c>
      <c r="D33" s="57" t="inlineStr">
        <is>
          <t>Melida</t>
        </is>
      </c>
      <c r="E33" s="57" t="inlineStr">
        <is>
          <t>MANTENIMIENTO CORRECTIVO</t>
        </is>
      </c>
      <c r="F33" s="57" t="inlineStr">
        <is>
          <t>SOLICITUD VERBAL</t>
        </is>
      </c>
      <c r="G33" s="57" t="inlineStr">
        <is>
          <t>Sí</t>
        </is>
      </c>
      <c r="H33" s="57" t="inlineStr">
        <is>
          <t>2026-01-14</t>
        </is>
      </c>
      <c r="I33" s="57" t="inlineStr">
        <is>
          <t>Se solicita la revision de la conexion a internet de la funcionaria, se hace la revision correspondiente en el equipo, se revisa en el switch y se le deja evidenciado a la solicitante el funcionamiento de la conexion a internet</t>
        </is>
      </c>
    </row>
    <row r="34" ht="114.75" customHeight="1">
      <c r="A34" s="57" t="inlineStr">
        <is>
          <t>Colaborar en el control y actualización del inventario de activos tecnológicos, incluyendo equipos de cómputo, dispositivos de red, periféricos y demás recursos asignados a las dependencias, según los procedimientos establecidos por la oficina de sistemas.</t>
        </is>
      </c>
      <c r="B34" s="57" t="inlineStr">
        <is>
          <t>2026-01-26</t>
        </is>
      </c>
      <c r="C34" s="57" t="inlineStr">
        <is>
          <t>Subsecretaria de Movilidad</t>
        </is>
      </c>
      <c r="D34" s="57" t="inlineStr">
        <is>
          <t>Paula</t>
        </is>
      </c>
      <c r="E34" s="57" t="inlineStr">
        <is>
          <t>ASESORIA Y ASISTENCIA</t>
        </is>
      </c>
      <c r="F34" s="57" t="inlineStr">
        <is>
          <t>SOLICITUD VERBAL</t>
        </is>
      </c>
      <c r="G34" s="57" t="inlineStr">
        <is>
          <t>Sí</t>
        </is>
      </c>
      <c r="H34" s="57" t="inlineStr">
        <is>
          <t>2026-01-26</t>
        </is>
      </c>
      <c r="I34" s="57" t="inlineStr">
        <is>
          <t>Se solicita la revision del funcionamiento del telefono la dependencia, se confirma que el telefono esta funcionando normal, se prueba con la funcionaria el recibimiento y llamadas salientes del telefono, queda la constancia del funcionamiento normal del telefono</t>
        </is>
      </c>
    </row>
    <row r="35">
      <c r="A35" s="53" t="inlineStr">
        <is>
          <t>Actividades: 3</t>
        </is>
      </c>
      <c r="B35" s="54" t="n"/>
      <c r="C35" s="59" t="n"/>
      <c r="D35" s="59" t="n"/>
      <c r="E35" s="59" t="n"/>
      <c r="F35" s="56" t="n"/>
      <c r="G35" s="57" t="n"/>
      <c r="H35" s="58" t="n"/>
      <c r="I35" s="59" t="n"/>
      <c r="J35" s="60" t="n"/>
    </row>
    <row r="36" ht="102" customHeight="1">
      <c r="A36" s="57" t="inlineStr">
        <is>
          <t>Apoyar en tareas logísticas relacionadas con la infraestructura tecnológica, tales como instalación, traslado o reubicación de equipos de cómputo, dispositivos de red y demás componentes tecnológicos, bajo supervisión del personal del área.</t>
        </is>
      </c>
      <c r="B36" s="57" t="inlineStr">
        <is>
          <t>2026-01-15</t>
        </is>
      </c>
      <c r="C36" s="57" t="inlineStr">
        <is>
          <t>CASA DE JUSTICIA</t>
        </is>
      </c>
      <c r="D36" s="57" t="inlineStr">
        <is>
          <t>Jazmin</t>
        </is>
      </c>
      <c r="E36" s="57" t="inlineStr">
        <is>
          <t>ASESORIA Y ASISTENCIA</t>
        </is>
      </c>
      <c r="F36" s="57" t="inlineStr">
        <is>
          <t>LLAMADA TELEFONICA</t>
        </is>
      </c>
      <c r="G36" s="57" t="inlineStr">
        <is>
          <t>Sí</t>
        </is>
      </c>
      <c r="H36" s="57" t="inlineStr">
        <is>
          <t>2026-01-15</t>
        </is>
      </c>
      <c r="I36" s="57" t="inlineStr">
        <is>
          <t>Se solicita el traslado temporal de la impresora del jefe de inspeccion a la dependencia de la funcionaria solicitante, se le deja instalada la impresora y se le deja en evidencia el funcionamiento normal de la impresora a la funcionaria</t>
        </is>
      </c>
    </row>
    <row r="37" ht="102" customHeight="1">
      <c r="A37" s="57" t="inlineStr">
        <is>
          <t>Apoyar en tareas logísticas relacionadas con la infraestructura tecnológica, tales como instalación, traslado o reubicación de equipos de cómputo, dispositivos de red y demás componentes tecnológicos, bajo supervisión del personal del área.</t>
        </is>
      </c>
      <c r="B37" s="57" t="inlineStr">
        <is>
          <t>2026-01-21</t>
        </is>
      </c>
      <c r="C37" s="57" t="inlineStr">
        <is>
          <t>DESARROLLO ECONOMICO</t>
        </is>
      </c>
      <c r="D37" s="57" t="inlineStr">
        <is>
          <t>Uriel</t>
        </is>
      </c>
      <c r="E37" s="57" t="inlineStr">
        <is>
          <t>ASESORIA Y ASISTENCIA</t>
        </is>
      </c>
      <c r="F37" s="57" t="inlineStr">
        <is>
          <t>SOLICITUD VERBAL</t>
        </is>
      </c>
      <c r="G37" s="57" t="inlineStr">
        <is>
          <t>Sí</t>
        </is>
      </c>
      <c r="H37" s="57" t="inlineStr">
        <is>
          <t>2026-01-21</t>
        </is>
      </c>
      <c r="I37" s="57" t="inlineStr">
        <is>
          <t>Se solicita la revision de las instalaciones del equipo, especialmente el de red, para mover el equipo permitiendo mas especio para el funcionario, se deja con mayor especio de trabajo y movimiento</t>
        </is>
      </c>
    </row>
    <row r="38" ht="102" customHeight="1">
      <c r="A38" s="57" t="inlineStr">
        <is>
          <t>Apoyar en tareas logísticas relacionadas con la infraestructura tecnológica, tales como instalación, traslado o reubicación de equipos de cómputo, dispositivos de red y demás componentes tecnológicos, bajo supervisión del personal del área.</t>
        </is>
      </c>
      <c r="B38" s="57" t="inlineStr">
        <is>
          <t>2026-01-28</t>
        </is>
      </c>
      <c r="C38" s="57" t="inlineStr">
        <is>
          <t>DESARROLLO ECONOMICO</t>
        </is>
      </c>
      <c r="D38" s="57" t="inlineStr">
        <is>
          <t>Uriel</t>
        </is>
      </c>
      <c r="E38" s="57" t="inlineStr">
        <is>
          <t>ASESORIA Y ASISTENCIA</t>
        </is>
      </c>
      <c r="F38" s="57" t="inlineStr">
        <is>
          <t>SOLICITUD VERBAL</t>
        </is>
      </c>
      <c r="G38" s="57" t="inlineStr">
        <is>
          <t>Sí</t>
        </is>
      </c>
      <c r="H38" s="57" t="inlineStr">
        <is>
          <t>2026-01-28</t>
        </is>
      </c>
      <c r="I38" s="57" t="inlineStr">
        <is>
          <t>Se solicita la instalacion de equipo actualizado en el puesto de trabajo, con conexión a electricidad y red, se le deja en evidencia al funcionario el funcionamiento del equipo</t>
        </is>
      </c>
    </row>
    <row r="39">
      <c r="A39" s="70" t="inlineStr">
        <is>
          <t>ACTIVIDADES: 3</t>
        </is>
      </c>
      <c r="B39" s="54" t="n"/>
      <c r="C39" s="59" t="n"/>
      <c r="D39" s="59" t="n"/>
      <c r="E39" s="59" t="n"/>
      <c r="F39" s="56" t="n"/>
      <c r="G39" s="57" t="n"/>
      <c r="H39" s="58" t="n"/>
      <c r="I39" s="59" t="n"/>
      <c r="J39" s="60" t="n"/>
    </row>
    <row r="40" ht="76.5" customHeight="1">
      <c r="A40" s="57" t="inlineStr">
        <is>
          <t>Realizar seguimiento a solicitudes y requerimientos tecnológicos de los usuarios, documentando novedades, avances y necesidades adicionales, y comunicándolas oportunamente a los responsables correspondientes.</t>
        </is>
      </c>
      <c r="B40" s="57" t="inlineStr">
        <is>
          <t>2026-01-15</t>
        </is>
      </c>
      <c r="C40" s="57" t="inlineStr">
        <is>
          <t>CONTABILIDAD</t>
        </is>
      </c>
      <c r="D40" s="57" t="inlineStr">
        <is>
          <t>Diana</t>
        </is>
      </c>
      <c r="E40" s="57" t="inlineStr">
        <is>
          <t>ASESORIA Y ASISTENCIA</t>
        </is>
      </c>
      <c r="F40" s="57" t="inlineStr">
        <is>
          <t>SOLICITUD VERBAL</t>
        </is>
      </c>
      <c r="G40" s="57" t="inlineStr">
        <is>
          <t>Sí</t>
        </is>
      </c>
      <c r="H40" s="57" t="inlineStr">
        <is>
          <t>2026-01-15</t>
        </is>
      </c>
      <c r="I40" s="57" t="inlineStr">
        <is>
          <t>Se solicita la revision de los permisos para una reunión con la DIAN, se le revisa los permisos habilitados en el equipo para la reunión, se le muestra que si tiene los permisos para poder participar en la reunion, ademas se solicta la revision de los permisos en el celular en caso de que el equipo presente problemas y tambien tiene los permisos habilitados</t>
        </is>
      </c>
    </row>
    <row r="41" ht="76.5" customHeight="1">
      <c r="A41" s="57" t="inlineStr">
        <is>
          <t>Realizar seguimiento a solicitudes y requerimientos tecnológicos de los usuarios, documentando novedades, avances y necesidades adicionales, y comunicándolas oportunamente a los responsables correspondientes.</t>
        </is>
      </c>
      <c r="B41" s="57" t="inlineStr">
        <is>
          <t>2026-01-21</t>
        </is>
      </c>
      <c r="C41" s="57" t="inlineStr">
        <is>
          <t>EJECUCIONES FISCALES</t>
        </is>
      </c>
      <c r="D41" s="57" t="inlineStr">
        <is>
          <t>Cristina</t>
        </is>
      </c>
      <c r="E41" s="57" t="inlineStr">
        <is>
          <t>ASESORIA Y ASISTENCIA</t>
        </is>
      </c>
      <c r="F41" s="57" t="inlineStr">
        <is>
          <t>SOLICITUD VERBAL</t>
        </is>
      </c>
      <c r="G41" s="57" t="inlineStr">
        <is>
          <t>Sí</t>
        </is>
      </c>
      <c r="H41" s="57" t="inlineStr">
        <is>
          <t>2026-01-21</t>
        </is>
      </c>
      <c r="I41" s="57" t="inlineStr">
        <is>
          <t>Se solicita el cambio de contraseña del usuario de Symir, se realiza el cambio de contraseña a del usuario de Symir y se le deja la informacion a la funcionaria</t>
        </is>
      </c>
    </row>
    <row r="42" ht="76.5" customHeight="1">
      <c r="A42" s="57" t="inlineStr">
        <is>
          <t>Realizar seguimiento a solicitudes y requerimientos tecnológicos de los usuarios, documentando novedades, avances y necesidades adicionales, y comunicándolas oportunamente a los responsables correspondientes.</t>
        </is>
      </c>
      <c r="B42" s="57" t="inlineStr">
        <is>
          <t>2026-01-26</t>
        </is>
      </c>
      <c r="C42" s="57" t="inlineStr">
        <is>
          <t>Subsecretaria de Familia</t>
        </is>
      </c>
      <c r="D42" s="57" t="inlineStr">
        <is>
          <t>Luis Alejandro Agudelo Lopez</t>
        </is>
      </c>
      <c r="E42" s="57" t="inlineStr">
        <is>
          <t>INSTALACIONES NUEVAS</t>
        </is>
      </c>
      <c r="F42" s="57" t="inlineStr">
        <is>
          <t>E-MAIL</t>
        </is>
      </c>
      <c r="G42" s="57" t="inlineStr">
        <is>
          <t>Sí</t>
        </is>
      </c>
      <c r="H42" s="57" t="inlineStr">
        <is>
          <t>2026-01-26</t>
        </is>
      </c>
      <c r="I42" s="57" t="inlineStr">
        <is>
          <t>Se solicita la creacion de un nuevo correo electronico para el funcionario, se confirma con el funcionario la direccion de correo, se crea el nuevo correo institucional y se le envia la informacion correspondiente</t>
        </is>
      </c>
    </row>
    <row r="43" ht="76.5" customHeight="1">
      <c r="A43" s="57" t="inlineStr">
        <is>
          <t>Realizar seguimiento a solicitudes y requerimientos tecnológicos de los usuarios, documentando novedades, avances y necesidades adicionales, y comunicándolas oportunamente a los responsables correspondientes.</t>
        </is>
      </c>
      <c r="B43" s="57" t="inlineStr">
        <is>
          <t>2026-01-27</t>
        </is>
      </c>
      <c r="C43" s="57" t="inlineStr">
        <is>
          <t>DESARROLLO ECONOMICO</t>
        </is>
      </c>
      <c r="D43" s="57" t="inlineStr">
        <is>
          <t>Uriel</t>
        </is>
      </c>
      <c r="E43" s="57" t="inlineStr">
        <is>
          <t>MANTENIMIENTO CORRECTIVO</t>
        </is>
      </c>
      <c r="F43" s="57" t="inlineStr">
        <is>
          <t>SOLICITUD VERBAL</t>
        </is>
      </c>
      <c r="G43" s="57" t="inlineStr">
        <is>
          <t>Sí</t>
        </is>
      </c>
      <c r="H43" s="57" t="inlineStr">
        <is>
          <t>2026-01-27</t>
        </is>
      </c>
      <c r="I43" s="57" t="inlineStr">
        <is>
          <t>Se solicita la revision de un equipo en deshuso y la posibilidad de actualizarlos, se hace la revision correspondiente al procesador, que ram soporta, se actualiza la ram y se verifica que el equipo sea capaz de soportar la nueva capacidad</t>
        </is>
      </c>
    </row>
    <row r="44" ht="76.5" customHeight="1">
      <c r="A44" s="57" t="inlineStr">
        <is>
          <t>Realizar seguimiento a solicitudes y requerimientos tecnológicos de los usuarios, documentando novedades, avances y necesidades adicionales, y comunicándolas oportunamente a los responsables correspondientes.</t>
        </is>
      </c>
      <c r="B44" s="57" t="inlineStr">
        <is>
          <t>2026-01-27</t>
        </is>
      </c>
      <c r="C44" s="57" t="inlineStr">
        <is>
          <t>Subsecretaria de Familia</t>
        </is>
      </c>
      <c r="D44" s="57" t="inlineStr">
        <is>
          <t>Luis Alejandro Agudelo Lopez</t>
        </is>
      </c>
      <c r="E44" s="57" t="inlineStr">
        <is>
          <t>APOYO TECNOLÓGICO</t>
        </is>
      </c>
      <c r="F44" s="57" t="inlineStr">
        <is>
          <t>E-MAIL</t>
        </is>
      </c>
      <c r="G44" s="57" t="inlineStr">
        <is>
          <t>Sí</t>
        </is>
      </c>
      <c r="H44" s="57" t="inlineStr">
        <is>
          <t>2026-01-27</t>
        </is>
      </c>
      <c r="I44" s="57" t="inlineStr">
        <is>
          <t>Se solicita la creacion de un nuevo correo electronico para el funcionario, se confirma con el funcionario la direccion de correo, se crea el nuevo correo institucional y se le envia la informacion correspondiente</t>
        </is>
      </c>
    </row>
    <row r="45">
      <c r="A45" s="53" t="inlineStr">
        <is>
          <t>Activadades: 5</t>
        </is>
      </c>
      <c r="B45" s="54" t="n"/>
      <c r="C45" s="59" t="n"/>
      <c r="D45" s="59" t="n"/>
      <c r="E45" s="59" t="n"/>
      <c r="F45" s="56" t="n"/>
      <c r="G45" s="57" t="n"/>
      <c r="H45" s="58" t="n"/>
      <c r="I45" s="59" t="n"/>
      <c r="J45" s="60" t="n"/>
    </row>
    <row r="46" ht="89.25" customHeight="1">
      <c r="A46" s="57" t="inlineStr">
        <is>
          <t>Apoyar en la documentación técnica del área, incluyendo la organización y archivo de documentos, informes de soporte y demás registros, de acuerdo con las directrices internas y del Sistema de Gestión de Calidad.</t>
        </is>
      </c>
      <c r="B46" s="57" t="inlineStr">
        <is>
          <t>2026-01-16</t>
        </is>
      </c>
      <c r="C46" s="57" t="inlineStr">
        <is>
          <t>OFICINA DE SISTEMAS</t>
        </is>
      </c>
      <c r="D46" s="57" t="inlineStr">
        <is>
          <t>Felipe</t>
        </is>
      </c>
      <c r="E46" s="57" t="inlineStr">
        <is>
          <t>APOYO TECNOLÓGICO</t>
        </is>
      </c>
      <c r="F46" s="57" t="inlineStr">
        <is>
          <t>SOLICITUD VERBAL</t>
        </is>
      </c>
      <c r="G46" s="57" t="inlineStr">
        <is>
          <t>Sí</t>
        </is>
      </c>
      <c r="H46" s="57" t="inlineStr">
        <is>
          <t>2026-01-16</t>
        </is>
      </c>
      <c r="I46" s="57" t="inlineStr">
        <is>
          <t>Se solicita la creacion del cronograma de las capacitaciones solicitadas al equipo de sistemas, que se les dara a los funcionarios, esto con el fin de realizar lo necesitado para la calidad</t>
        </is>
      </c>
    </row>
    <row r="47" ht="89.25" customHeight="1">
      <c r="A47" s="57" t="inlineStr">
        <is>
          <t>Apoyar en la documentación técnica del área, incluyendo la organización y archivo de documentos, informes de soporte y demás registros, de acuerdo con las directrices internas y del Sistema de Gestión de Calidad.</t>
        </is>
      </c>
      <c r="B47" s="57" t="inlineStr">
        <is>
          <t>2026-01-19</t>
        </is>
      </c>
      <c r="C47" s="57" t="inlineStr">
        <is>
          <t>OFICINA DE SISTEMAS</t>
        </is>
      </c>
      <c r="D47" s="57" t="inlineStr">
        <is>
          <t>Felipe</t>
        </is>
      </c>
      <c r="E47" s="57" t="inlineStr">
        <is>
          <t>ASESORIA Y ASISTENCIA</t>
        </is>
      </c>
      <c r="F47" s="57" t="inlineStr">
        <is>
          <t>SOLICITUD VERBAL</t>
        </is>
      </c>
      <c r="G47" s="57" t="inlineStr">
        <is>
          <t>Sí</t>
        </is>
      </c>
      <c r="H47" s="57" t="inlineStr">
        <is>
          <t>2026-01-19</t>
        </is>
      </c>
      <c r="I47" s="57" t="inlineStr">
        <is>
          <t>Se solicita la creacion del catalogo de servicios de los servicios tecnicos al equipo de sistemas, que se les dara a los funcionarios, esto con el fin de realizar lo necesitado para la calidad y dar a conocer a los funcionarios el tiempo necesitado para cumplir con solicitudes de apoyo tecnico</t>
        </is>
      </c>
    </row>
    <row r="48" ht="89.25" customHeight="1">
      <c r="A48" s="57" t="inlineStr">
        <is>
          <t>Apoyar en la documentación técnica del área, incluyendo la organización y archivo de documentos, informes de soporte y demás registros, de acuerdo con las directrices internas y del Sistema de Gestión de Calidad.</t>
        </is>
      </c>
      <c r="B48" s="57" t="inlineStr">
        <is>
          <t>2026-01-27</t>
        </is>
      </c>
      <c r="C48" s="57" t="inlineStr">
        <is>
          <t>OFICINA DE SISTEMAS</t>
        </is>
      </c>
      <c r="D48" s="57" t="inlineStr">
        <is>
          <t>Felipe</t>
        </is>
      </c>
      <c r="E48" s="57" t="inlineStr">
        <is>
          <t>ASESORIA Y ASISTENCIA</t>
        </is>
      </c>
      <c r="F48" s="57" t="inlineStr">
        <is>
          <t>SOLICITUD VERBAL</t>
        </is>
      </c>
      <c r="G48" s="57" t="inlineStr">
        <is>
          <t>Sí</t>
        </is>
      </c>
      <c r="H48" s="57" t="inlineStr">
        <is>
          <t>2026-01-27</t>
        </is>
      </c>
      <c r="I48" s="57" t="inlineStr">
        <is>
          <t>Se solicita la revision y acompañamiento de planes institucionales, discutiendo cualquier duda y aclarando ideas sobre los planes y presentaciones, se hace revision sobre las normatividades y se espera a revision con Calidad</t>
        </is>
      </c>
    </row>
    <row r="49" ht="89.25" customHeight="1">
      <c r="A49" s="57" t="inlineStr">
        <is>
          <t>Apoyar en la documentación técnica del área, incluyendo la organización y archivo de documentos, informes de soporte y demás registros, de acuerdo con las directrices internas y del Sistema de Gestión de Calidad.</t>
        </is>
      </c>
      <c r="B49" s="57" t="inlineStr">
        <is>
          <t>2026-01-27</t>
        </is>
      </c>
      <c r="C49" s="57" t="inlineStr">
        <is>
          <t>Subsecretaria de Familia</t>
        </is>
      </c>
      <c r="D49" s="57" t="inlineStr">
        <is>
          <t>Luis Alejandro Agudelo Lopez</t>
        </is>
      </c>
      <c r="E49" s="57" t="inlineStr">
        <is>
          <t>APOYO TECNOLÓGICO</t>
        </is>
      </c>
      <c r="F49" s="57" t="inlineStr">
        <is>
          <t>E-MAIL</t>
        </is>
      </c>
      <c r="G49" s="57" t="inlineStr">
        <is>
          <t>Sí</t>
        </is>
      </c>
      <c r="H49" s="57" t="inlineStr">
        <is>
          <t>2026-01-27</t>
        </is>
      </c>
      <c r="I49" s="57" t="inlineStr">
        <is>
          <t>Se solicita la creacion de un nuevo correo electronico para el funcionario, se confirma con el funcionario la direccion de correo, se crea el nuevo correo institucional y se le envia la informacion correspondiente</t>
        </is>
      </c>
    </row>
    <row r="50" ht="89.25" customHeight="1">
      <c r="A50" s="57" t="inlineStr">
        <is>
          <t>Apoyar en la documentación técnica del área, incluyendo la organización y archivo de documentos, informes de soporte y demás registros, de acuerdo con las directrices internas y del Sistema de Gestión de Calidad.</t>
        </is>
      </c>
      <c r="B50" s="57" t="inlineStr">
        <is>
          <t>2026-01-28</t>
        </is>
      </c>
      <c r="C50" s="57" t="inlineStr">
        <is>
          <t>DESARROLLO ECONOMICO</t>
        </is>
      </c>
      <c r="D50" s="57" t="inlineStr">
        <is>
          <t>Uriel</t>
        </is>
      </c>
      <c r="E50" s="57" t="inlineStr">
        <is>
          <t>ASESORIA Y ASISTENCIA</t>
        </is>
      </c>
      <c r="F50" s="57" t="inlineStr">
        <is>
          <t>SOLICITUD VERBAL</t>
        </is>
      </c>
      <c r="G50" s="57" t="inlineStr">
        <is>
          <t>Sí</t>
        </is>
      </c>
      <c r="H50" s="57" t="inlineStr">
        <is>
          <t>2026-01-28</t>
        </is>
      </c>
      <c r="I50" s="57" t="inlineStr">
        <is>
          <t>Se solicita la instalacion de equipo actualizado en el puesto de trabajo, con conexión a electricidad y red, se le deja en evidencia al funcionario el funcionamiento del equipo</t>
        </is>
      </c>
    </row>
    <row r="51" ht="89.25" customHeight="1">
      <c r="A51" s="57" t="inlineStr">
        <is>
          <t>Apoyar en la documentación técnica del área, incluyendo la organización y archivo de documentos, informes de soporte y demás registros, de acuerdo con las directrices internas y del Sistema de Gestión de Calidad.</t>
        </is>
      </c>
      <c r="B51" s="57" t="inlineStr">
        <is>
          <t>2026-02-04</t>
        </is>
      </c>
      <c r="C51" s="57" t="inlineStr">
        <is>
          <t>OFICINA DE SISTEMAS</t>
        </is>
      </c>
      <c r="D51" s="57" t="inlineStr">
        <is>
          <t>Mario</t>
        </is>
      </c>
      <c r="E51" s="57" t="inlineStr">
        <is>
          <t>ASESORIA Y ASISTENCIA</t>
        </is>
      </c>
      <c r="F51" s="57" t="inlineStr">
        <is>
          <t>LLAMADA TELEFONICA</t>
        </is>
      </c>
      <c r="G51" s="57" t="inlineStr">
        <is>
          <t>Sí</t>
        </is>
      </c>
      <c r="H51" s="57" t="inlineStr">
        <is>
          <t>2026-02-04</t>
        </is>
      </c>
      <c r="I51" s="57" t="inlineStr">
        <is>
          <t>Se solicta el cumplimiento y recibiemiento de la persona a cargo de los correos solicitados en la dependencia de centro dia, se hace la firma respectiva con la directora</t>
        </is>
      </c>
    </row>
    <row r="52">
      <c r="A52" s="53" t="inlineStr">
        <is>
          <t>Actividades: 6</t>
        </is>
      </c>
      <c r="B52" s="54" t="n"/>
      <c r="C52" s="59" t="n"/>
      <c r="D52" s="59" t="n"/>
      <c r="E52" s="59" t="n"/>
      <c r="F52" s="56" t="n"/>
      <c r="G52" s="57" t="n"/>
      <c r="H52" s="58" t="n"/>
      <c r="I52" s="59" t="n"/>
      <c r="J52" s="60" t="n"/>
    </row>
    <row r="53" ht="102" customHeight="1">
      <c r="A53"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3" s="72" t="inlineStr">
        <is>
          <t>2026-01-30</t>
        </is>
      </c>
      <c r="C53" s="72" t="inlineStr">
        <is>
          <t>OFICINA DE SISTEMAS</t>
        </is>
      </c>
      <c r="D53" s="72" t="inlineStr">
        <is>
          <t>Mario Henao</t>
        </is>
      </c>
      <c r="E53" s="72" t="inlineStr">
        <is>
          <t>ASESORIA Y ASISTENCIA</t>
        </is>
      </c>
      <c r="F53" s="72" t="inlineStr">
        <is>
          <t>SOLICITUD VERBAL</t>
        </is>
      </c>
      <c r="G53" s="72" t="inlineStr">
        <is>
          <t>Sí</t>
        </is>
      </c>
      <c r="H53" s="72" t="inlineStr">
        <is>
          <t>2026-01-30</t>
        </is>
      </c>
      <c r="I53" s="72" t="inlineStr">
        <is>
          <t>Se solicita el envió de un mensaje masivo a la administración municipal informando sobre el tratamiento de un caso de suplantación de identidad, dando a conocer el manejo del caso.</t>
        </is>
      </c>
    </row>
    <row r="54" ht="102" customHeight="1">
      <c r="A54"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4" s="72" t="inlineStr">
        <is>
          <t>2026-01-30</t>
        </is>
      </c>
      <c r="C54" s="72" t="inlineStr">
        <is>
          <t>GESTION HUMANA</t>
        </is>
      </c>
      <c r="D54" s="72" t="inlineStr">
        <is>
          <t>Leidy Bibiana</t>
        </is>
      </c>
      <c r="E54" s="72" t="inlineStr">
        <is>
          <t>APOYO TECNOLÓGICO</t>
        </is>
      </c>
      <c r="F54" s="72" t="inlineStr">
        <is>
          <t>E-MAIL</t>
        </is>
      </c>
      <c r="G54" s="72" t="inlineStr">
        <is>
          <t>Sí</t>
        </is>
      </c>
      <c r="H54" s="72" t="inlineStr">
        <is>
          <t>2026-01-30</t>
        </is>
      </c>
      <c r="I54" s="72" t="inlineStr">
        <is>
          <t>Se solicita otorgar permisos a una nueva funcionaria encargada, se le otorgan los permisos correspondiente y se le informa al funcionario sobre la otorgacion de permisos</t>
        </is>
      </c>
    </row>
    <row r="55" ht="102" customHeight="1">
      <c r="A55"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5" s="72" t="inlineStr">
        <is>
          <t>2026-02-02</t>
        </is>
      </c>
      <c r="C55" s="72" t="inlineStr">
        <is>
          <t>GESTION HUMANA</t>
        </is>
      </c>
      <c r="D55" s="72" t="inlineStr">
        <is>
          <t>Luz Aida</t>
        </is>
      </c>
      <c r="E55" s="72" t="inlineStr">
        <is>
          <t>ASESORIA Y ASISTENCIA</t>
        </is>
      </c>
      <c r="F55" s="72" t="inlineStr">
        <is>
          <t>SOLICITUD VERBAL</t>
        </is>
      </c>
      <c r="G55" s="72" t="inlineStr">
        <is>
          <t>Sí</t>
        </is>
      </c>
      <c r="H55" s="72" t="inlineStr">
        <is>
          <t>2026-02-02</t>
        </is>
      </c>
      <c r="I55" s="72" t="inlineStr">
        <is>
          <t>Se solicita el el cambio de firma del correo electronico, se realiza el cambio y se le evidencia a la funcionaria el cambio de firma de correo electronico</t>
        </is>
      </c>
    </row>
    <row r="56" ht="102" customHeight="1">
      <c r="A56"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6" s="72" t="inlineStr">
        <is>
          <t>2026-02-03</t>
        </is>
      </c>
      <c r="C56" s="72" t="inlineStr">
        <is>
          <t>IMPUESTOS</t>
        </is>
      </c>
      <c r="D56" s="72" t="inlineStr">
        <is>
          <t>Ariel</t>
        </is>
      </c>
      <c r="E56" s="72" t="inlineStr">
        <is>
          <t>ASESORIA Y ASISTENCIA</t>
        </is>
      </c>
      <c r="F56" s="72" t="inlineStr">
        <is>
          <t>SOLICITUD VERBAL</t>
        </is>
      </c>
      <c r="G56" s="72" t="inlineStr">
        <is>
          <t>Sí</t>
        </is>
      </c>
      <c r="H56" s="72" t="inlineStr">
        <is>
          <t>2026-02-03</t>
        </is>
      </c>
      <c r="I56" s="72" t="inlineStr">
        <is>
          <t>Se solicita el cambio de contraseña de un equipo, se le hace el cambio de contraseña y se le informa al funcionario</t>
        </is>
      </c>
    </row>
    <row r="57" ht="102" customHeight="1">
      <c r="A57"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7" s="72" t="inlineStr">
        <is>
          <t>2026-02-03</t>
        </is>
      </c>
      <c r="C57" s="72" t="inlineStr">
        <is>
          <t>IMPUESTOS</t>
        </is>
      </c>
      <c r="D57" s="72" t="inlineStr">
        <is>
          <t>Nora Alba</t>
        </is>
      </c>
      <c r="E57" s="72" t="inlineStr">
        <is>
          <t>ASESORIA Y ASISTENCIA</t>
        </is>
      </c>
      <c r="F57" s="72" t="inlineStr">
        <is>
          <t>E-MAIL</t>
        </is>
      </c>
      <c r="G57" s="72" t="inlineStr">
        <is>
          <t>Sí</t>
        </is>
      </c>
      <c r="H57" s="72" t="inlineStr">
        <is>
          <t>2026-02-03</t>
        </is>
      </c>
      <c r="I57" s="72" t="inlineStr">
        <is>
          <t>Se solicita la asignacion de permisos del modulo a la funcionaria, se hace la asignacion de permisos y se le informa a la funcionaria</t>
        </is>
      </c>
    </row>
    <row r="58" ht="102" customHeight="1">
      <c r="A58"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8" s="72" t="inlineStr">
        <is>
          <t>2026-02-04</t>
        </is>
      </c>
      <c r="C58" s="72" t="inlineStr">
        <is>
          <t>IMPUESTOS</t>
        </is>
      </c>
      <c r="D58" s="72" t="inlineStr">
        <is>
          <t>Nora Alba</t>
        </is>
      </c>
      <c r="E58" s="72" t="inlineStr">
        <is>
          <t>ASESORIA Y ASISTENCIA</t>
        </is>
      </c>
      <c r="F58" s="72" t="inlineStr">
        <is>
          <t>SOLICITUD VERBAL</t>
        </is>
      </c>
      <c r="G58" s="72" t="inlineStr">
        <is>
          <t>Sí</t>
        </is>
      </c>
      <c r="H58" s="72" t="inlineStr">
        <is>
          <t>2026-02-04</t>
        </is>
      </c>
      <c r="I58" s="72" t="inlineStr">
        <is>
          <t>Se solicita cambio de contraseña para el ingreso a los modulos, se hace el cambio de contraseña y se le informa al funcionario</t>
        </is>
      </c>
    </row>
    <row r="59" ht="102" customHeight="1">
      <c r="A59"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59" s="72" t="inlineStr">
        <is>
          <t>2026-02-04</t>
        </is>
      </c>
      <c r="C59" s="72" t="inlineStr">
        <is>
          <t>INFRAESTRUCTURA</t>
        </is>
      </c>
      <c r="D59" s="72" t="inlineStr">
        <is>
          <t>Vanesa</t>
        </is>
      </c>
      <c r="E59" s="72" t="inlineStr">
        <is>
          <t>ASESORIA Y ASISTENCIA</t>
        </is>
      </c>
      <c r="F59" s="72" t="inlineStr">
        <is>
          <t>LLAMADA TELEFONICA</t>
        </is>
      </c>
      <c r="G59" s="72" t="inlineStr">
        <is>
          <t>Sí</t>
        </is>
      </c>
      <c r="H59" s="72" t="inlineStr">
        <is>
          <t>2026-02-04</t>
        </is>
      </c>
      <c r="I59" s="72" t="inlineStr">
        <is>
          <t>Se solicita la informacion respectiva al ingreso con las credenciales de la funcionaria a la intranet, se le informa a la funcionaria el cambio con las credenciales y esta ingresa a la plataforma</t>
        </is>
      </c>
    </row>
    <row r="60" ht="102" customHeight="1">
      <c r="A60"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60" s="72" t="inlineStr">
        <is>
          <t>2026-02-05</t>
        </is>
      </c>
      <c r="C60" s="72" t="inlineStr">
        <is>
          <t>CENTRO DÍA</t>
        </is>
      </c>
      <c r="D60" s="72" t="inlineStr">
        <is>
          <t>Melida</t>
        </is>
      </c>
      <c r="E60" s="72" t="inlineStr">
        <is>
          <t>ASESORIA Y ASISTENCIA</t>
        </is>
      </c>
      <c r="F60" s="72" t="inlineStr">
        <is>
          <t>LLAMADA TELEFONICA</t>
        </is>
      </c>
      <c r="G60" s="72" t="inlineStr">
        <is>
          <t>Sí</t>
        </is>
      </c>
      <c r="H60" s="72" t="inlineStr">
        <is>
          <t>2026-02-05</t>
        </is>
      </c>
      <c r="I60" s="72" t="inlineStr">
        <is>
          <t>Se solicita la revision de usuario en la intranet ya que la funcionaria le sacaba error, se revisa el usuario y se reactiva en la intranet, se le informa a la solicitante sobre la activacion del usuario y se evidencia con el funcionario que logra ingresar</t>
        </is>
      </c>
    </row>
    <row r="61" ht="102" customHeight="1">
      <c r="A61"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61" s="72" t="inlineStr">
        <is>
          <t>2026-02-05</t>
        </is>
      </c>
      <c r="C61" s="72" t="inlineStr">
        <is>
          <t>HACIENDA</t>
        </is>
      </c>
      <c r="D61" s="72" t="inlineStr">
        <is>
          <t>Flor Maria Montoya</t>
        </is>
      </c>
      <c r="E61" s="72" t="inlineStr">
        <is>
          <t>ASESORIA Y ASISTENCIA</t>
        </is>
      </c>
      <c r="F61" s="72" t="inlineStr">
        <is>
          <t>E-MAIL</t>
        </is>
      </c>
      <c r="G61" s="72" t="inlineStr">
        <is>
          <t>Sí</t>
        </is>
      </c>
      <c r="H61" s="72" t="inlineStr">
        <is>
          <t>2026-02-05</t>
        </is>
      </c>
      <c r="I61" s="72" t="inlineStr">
        <is>
          <t>Se solicita la asignacion de permisos de un modulo, se asignan los permisos correspondientes y se le informa al solicitante</t>
        </is>
      </c>
    </row>
    <row r="62" ht="102" customHeight="1">
      <c r="A62" s="72" t="inlineStr">
        <is>
          <t>Colaborar en la implementación y seguimiento de medidas básicas de seguridad informática, tales como el monitoreo de alertas básicas, cierre adecuado de sesiones y cumplimiento de rutinas establecidas para el uso seguro de los recursos tecnológicos.</t>
        </is>
      </c>
      <c r="B62" s="72" t="inlineStr">
        <is>
          <t>2026-02-05</t>
        </is>
      </c>
      <c r="C62" s="72" t="inlineStr">
        <is>
          <t>CATASTRO</t>
        </is>
      </c>
      <c r="D62" s="72" t="inlineStr">
        <is>
          <t>Luis Fernando</t>
        </is>
      </c>
      <c r="E62" s="72" t="inlineStr">
        <is>
          <t>ASESORIA Y ASISTENCIA</t>
        </is>
      </c>
      <c r="F62" s="72" t="inlineStr">
        <is>
          <t>E-MAIL</t>
        </is>
      </c>
      <c r="G62" s="72" t="inlineStr">
        <is>
          <t>Sí</t>
        </is>
      </c>
      <c r="H62" s="72" t="inlineStr">
        <is>
          <t>2026-02-05</t>
        </is>
      </c>
      <c r="I62" s="72" t="inlineStr">
        <is>
          <t>Se solicita la asignacion de permisos de un modulo, se asignan los permisos correspondientes y se le informa al solicitante</t>
        </is>
      </c>
    </row>
    <row r="63">
      <c r="A63" s="53" t="inlineStr">
        <is>
          <t>Actividades: 10</t>
        </is>
      </c>
      <c r="B63" s="54" t="n"/>
      <c r="C63" s="59" t="n"/>
      <c r="D63" s="59" t="n"/>
      <c r="E63" s="59" t="n"/>
      <c r="F63" s="56" t="n"/>
      <c r="G63" s="57" t="n"/>
      <c r="H63" s="58" t="n"/>
      <c r="I63" s="59" t="n"/>
      <c r="J63" s="60" t="n"/>
    </row>
    <row r="64" ht="114.75" customHeight="1">
      <c r="A64" s="57"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B64" s="57" t="inlineStr">
        <is>
          <t>2026-01-19</t>
        </is>
      </c>
      <c r="C64" s="57" t="inlineStr">
        <is>
          <t>OFICINA DE SISTEMAS</t>
        </is>
      </c>
      <c r="D64" s="57" t="inlineStr">
        <is>
          <t>Mario Henao</t>
        </is>
      </c>
      <c r="E64" s="57" t="inlineStr">
        <is>
          <t>APOYO TECNOLÓGICO</t>
        </is>
      </c>
      <c r="F64" s="57" t="inlineStr">
        <is>
          <t>SOLICITUD VERBAL</t>
        </is>
      </c>
      <c r="G64" s="57" t="inlineStr">
        <is>
          <t>Sí</t>
        </is>
      </c>
      <c r="H64" s="57" t="inlineStr">
        <is>
          <t>2026-01-19</t>
        </is>
      </c>
      <c r="I64" s="57" t="inlineStr">
        <is>
          <t>Se solicita el bloqueo o desisntalacion de software no licenciado conocido como Cuyis, y que esta posiblemente instalado en equipos de computo de la administración municipal</t>
        </is>
      </c>
    </row>
    <row r="65" ht="114.75" customHeight="1">
      <c r="A65" s="57"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B65" s="57" t="inlineStr">
        <is>
          <t>2026-01-19</t>
        </is>
      </c>
      <c r="C65" s="57" t="inlineStr">
        <is>
          <t>OFICINA DE SISTEMAS</t>
        </is>
      </c>
      <c r="D65" s="57" t="inlineStr">
        <is>
          <t>Mario Henao</t>
        </is>
      </c>
      <c r="E65" s="57" t="inlineStr">
        <is>
          <t>APOYO TECNOLÓGICO</t>
        </is>
      </c>
      <c r="F65" s="57" t="inlineStr">
        <is>
          <t>SOLICITUD VERBAL</t>
        </is>
      </c>
      <c r="G65" s="57" t="inlineStr">
        <is>
          <t>Sí</t>
        </is>
      </c>
      <c r="H65" s="57" t="inlineStr">
        <is>
          <t>2026-01-19</t>
        </is>
      </c>
      <c r="I65" s="57" t="inlineStr">
        <is>
          <t>Se solicita el bloqueo o desisntalacion de software no licenciado o que ya no tiene soporte y es innecesario en os equipos de la administración municipal, reduciendo riesgos y vulnerabilidades</t>
        </is>
      </c>
    </row>
    <row r="66" ht="114.75" customHeight="1">
      <c r="A66" s="57" t="inlineStr">
        <is>
          <t>Apoyar en otras actividades de carácter técnico-operativo o administrativo relacionadas con la gestión de las tecnologías de la información, que le sean asignadas por el supervisor del contrato o del ordenador del gasto, en concordancia con el objeto contractual.</t>
        </is>
      </c>
      <c r="B66" s="45">
        <f>Tabla2245678912111013141516172[[#This Row],[FECHA ATENCIÓN]]</f>
        <v/>
      </c>
      <c r="C66" s="57" t="inlineStr">
        <is>
          <t>OFICINA DE SISTEMAS</t>
        </is>
      </c>
      <c r="D66" s="57" t="inlineStr">
        <is>
          <t>Mario Henao</t>
        </is>
      </c>
      <c r="E66" s="57" t="inlineStr">
        <is>
          <t>APOYO TECNOLÓGICO</t>
        </is>
      </c>
      <c r="F66" s="57" t="inlineStr">
        <is>
          <t>SOLICITUD VERBAL</t>
        </is>
      </c>
      <c r="G66" s="57" t="inlineStr">
        <is>
          <t>En proceso</t>
        </is>
      </c>
      <c r="H66" s="45" t="n">
        <v>46059</v>
      </c>
      <c r="I66" s="57" t="inlineStr">
        <is>
          <t>Se solicta agregar un medio de notificacion de mensajes más continuo e ininterrupido</t>
        </is>
      </c>
    </row>
    <row r="67">
      <c r="A67" s="62" t="inlineStr">
        <is>
          <t>ACTIVIDADES: 3</t>
        </is>
      </c>
      <c r="B67" s="63" t="n"/>
      <c r="C67" s="59" t="n"/>
      <c r="D67" s="59" t="n"/>
      <c r="E67" s="59" t="n"/>
      <c r="F67" s="56" t="n"/>
      <c r="G67" s="57" t="n"/>
      <c r="H67" s="64" t="n"/>
      <c r="I67" s="59" t="n"/>
      <c r="J67" s="60" t="n"/>
    </row>
    <row r="68">
      <c r="A68" s="81" t="inlineStr">
        <is>
          <t>TOTAL ACTIVIDADES: 52</t>
        </is>
      </c>
      <c r="B68" s="99" t="n"/>
      <c r="C68" s="73" t="n"/>
      <c r="D68" s="57" t="n"/>
      <c r="E68" s="57" t="n"/>
      <c r="F68" s="72" t="n"/>
      <c r="G68" s="72" t="n"/>
      <c r="H68" s="72" t="n"/>
      <c r="I68" s="72" t="n"/>
      <c r="J68" s="74" t="n"/>
    </row>
    <row r="69">
      <c r="A69" s="77" t="inlineStr">
        <is>
          <t xml:space="preserve">Fecha de informe:  </t>
        </is>
      </c>
      <c r="B69" s="83" t="inlineStr">
        <is>
          <t>Febrero 2026</t>
        </is>
      </c>
      <c r="C69" s="98" t="n"/>
      <c r="D69" s="98" t="n"/>
      <c r="E69" s="98" t="n"/>
      <c r="F69" s="98" t="n"/>
      <c r="G69" s="98" t="n"/>
      <c r="H69" s="98" t="n"/>
      <c r="I69" s="98" t="n"/>
      <c r="J69" s="99" t="n"/>
    </row>
    <row r="70">
      <c r="A70" s="65" t="inlineStr">
        <is>
          <t xml:space="preserve">Elaborado por:     </t>
        </is>
      </c>
      <c r="B70" s="78" t="inlineStr">
        <is>
          <t>STEVEN ALEJANDRO RUIZ RENDON</t>
        </is>
      </c>
      <c r="C70" s="98" t="n"/>
      <c r="D70" s="98" t="n"/>
      <c r="E70" s="98" t="n"/>
      <c r="F70" s="98" t="n"/>
      <c r="G70" s="98" t="n"/>
      <c r="H70" s="98" t="n"/>
      <c r="I70" s="98" t="n"/>
      <c r="J70" s="99" t="n"/>
    </row>
    <row r="71" ht="25.5" customHeight="1">
      <c r="A71" s="22" t="inlineStr">
        <is>
          <t xml:space="preserve">                                                    Contratista</t>
        </is>
      </c>
      <c r="B71" s="77" t="n"/>
      <c r="C71" s="98" t="n"/>
      <c r="D71" s="98" t="n"/>
      <c r="E71" s="98" t="n"/>
      <c r="F71" s="98" t="n"/>
      <c r="G71" s="98" t="n"/>
      <c r="H71" s="98" t="n"/>
      <c r="I71" s="98" t="n"/>
      <c r="J71" s="99" t="n"/>
    </row>
    <row r="72">
      <c r="A72" s="65" t="inlineStr">
        <is>
          <t>Vo Bo:</t>
        </is>
      </c>
      <c r="B72" s="77" t="inlineStr">
        <is>
          <t>MARIO ALFONSO HENAO LOPEZ</t>
        </is>
      </c>
      <c r="C72" s="98" t="n"/>
      <c r="D72" s="98" t="n"/>
      <c r="E72" s="98" t="n"/>
      <c r="F72" s="98" t="n"/>
      <c r="G72" s="98" t="n"/>
      <c r="H72" s="98" t="n"/>
      <c r="I72" s="98" t="n"/>
      <c r="J72" s="99" t="n"/>
    </row>
    <row r="73" ht="30.75" customHeight="1">
      <c r="A73" s="76" t="inlineStr">
        <is>
          <t>Supervisor contrato</t>
        </is>
      </c>
      <c r="B73" s="79" t="n"/>
      <c r="C73" s="98" t="n"/>
      <c r="D73" s="98" t="n"/>
      <c r="E73" s="98" t="n"/>
      <c r="F73" s="98" t="n"/>
      <c r="G73" s="98" t="n"/>
      <c r="H73" s="98" t="n"/>
      <c r="I73" s="98" t="n"/>
      <c r="J73" s="99" t="n"/>
    </row>
    <row r="74">
      <c r="A74" s="66" t="n"/>
      <c r="B74" s="67" t="n"/>
      <c r="C74" s="66" t="n"/>
      <c r="D74" s="66" t="n"/>
      <c r="E74" s="66" t="n"/>
      <c r="F74" s="66" t="n"/>
      <c r="G74" s="66" t="n"/>
      <c r="H74" s="66" t="n"/>
      <c r="I74" s="66" t="n"/>
      <c r="J74" s="68" t="n"/>
    </row>
    <row r="75">
      <c r="A75" s="66" t="n"/>
      <c r="B75" s="67" t="n"/>
      <c r="C75" s="66" t="n"/>
      <c r="D75" s="66" t="n"/>
      <c r="E75" s="66" t="n"/>
      <c r="F75" s="66" t="n"/>
      <c r="G75" s="66" t="n"/>
      <c r="H75" s="66" t="n"/>
      <c r="I75" s="66" t="n"/>
      <c r="J75" s="60" t="n"/>
    </row>
    <row r="76">
      <c r="A76" s="66" t="n"/>
      <c r="B76" s="67" t="n"/>
      <c r="C76" s="66" t="n"/>
      <c r="D76" s="66" t="n"/>
      <c r="E76" s="66" t="n"/>
      <c r="F76" s="66" t="n"/>
      <c r="G76" s="66" t="n"/>
      <c r="H76" s="66" t="n"/>
      <c r="I76" s="66" t="n"/>
      <c r="J76" s="60" t="n"/>
    </row>
    <row r="77">
      <c r="A77" s="66" t="n"/>
      <c r="B77" s="67" t="n"/>
      <c r="C77" s="66" t="n"/>
      <c r="D77" s="66" t="n"/>
      <c r="E77" s="66" t="n"/>
      <c r="F77" s="66" t="n"/>
      <c r="G77" s="66" t="n"/>
      <c r="H77" s="66" t="n"/>
      <c r="I77" s="66" t="n"/>
      <c r="J77" s="60" t="n"/>
    </row>
    <row r="78">
      <c r="A78" s="66" t="n"/>
      <c r="B78" s="67" t="n"/>
      <c r="C78" s="66" t="n"/>
      <c r="D78" s="66" t="n"/>
      <c r="E78" s="66" t="n"/>
      <c r="F78" s="66" t="n"/>
      <c r="G78" s="66" t="n"/>
      <c r="H78" s="66" t="n"/>
      <c r="I78" s="66" t="n"/>
      <c r="J78" s="60" t="n"/>
    </row>
    <row r="79">
      <c r="A79" s="66" t="n"/>
      <c r="B79" s="67" t="n"/>
      <c r="C79" s="66" t="n"/>
      <c r="D79" s="66" t="n"/>
      <c r="E79" s="66" t="n"/>
      <c r="F79" s="66" t="n"/>
      <c r="G79" s="66" t="n"/>
      <c r="H79" s="66" t="n"/>
      <c r="I79" s="66" t="n"/>
      <c r="J79" s="60" t="n"/>
    </row>
    <row r="80">
      <c r="A80" s="66" t="n"/>
      <c r="B80" s="67" t="n"/>
      <c r="C80" s="66" t="n"/>
      <c r="D80" s="66" t="n"/>
      <c r="E80" s="66" t="n"/>
      <c r="F80" s="66" t="n"/>
      <c r="G80" s="66" t="n"/>
      <c r="H80" s="66" t="n"/>
      <c r="I80" s="66" t="n"/>
      <c r="J80" s="60" t="n"/>
    </row>
    <row r="81">
      <c r="A81" s="66" t="n"/>
      <c r="B81" s="67" t="n"/>
      <c r="C81" s="66" t="n"/>
      <c r="D81" s="66" t="n"/>
      <c r="E81" s="66" t="n"/>
      <c r="F81" s="66" t="n"/>
      <c r="G81" s="66" t="n"/>
      <c r="H81" s="66" t="n"/>
      <c r="I81" s="66" t="n"/>
      <c r="J81" s="60" t="n"/>
    </row>
    <row r="82">
      <c r="A82" s="66" t="n"/>
      <c r="B82" s="67" t="n"/>
      <c r="C82" s="66" t="n"/>
      <c r="D82" s="66" t="n"/>
      <c r="E82" s="66" t="n"/>
      <c r="F82" s="66" t="n"/>
      <c r="G82" s="66" t="n"/>
      <c r="H82" s="66" t="n"/>
      <c r="I82" s="66" t="n"/>
      <c r="J82" s="60" t="n"/>
    </row>
    <row r="83">
      <c r="A83" s="66" t="n"/>
      <c r="B83" s="67" t="n"/>
      <c r="C83" s="66" t="n"/>
      <c r="D83" s="66" t="n"/>
      <c r="E83" s="66" t="n"/>
      <c r="F83" s="66" t="n"/>
      <c r="G83" s="66" t="n"/>
      <c r="H83" s="66" t="n"/>
      <c r="I83" s="66" t="n"/>
      <c r="J83" s="60" t="n"/>
    </row>
    <row r="84">
      <c r="A84" s="66" t="n"/>
      <c r="B84" s="67" t="n"/>
      <c r="C84" s="66" t="n"/>
      <c r="D84" s="66" t="n"/>
      <c r="E84" s="66" t="n"/>
      <c r="F84" s="66" t="n"/>
      <c r="G84" s="66" t="n"/>
      <c r="H84" s="66" t="n"/>
      <c r="I84" s="66" t="n"/>
      <c r="J84" s="60" t="n"/>
    </row>
    <row r="85">
      <c r="A85" s="66" t="n"/>
      <c r="B85" s="67" t="n"/>
      <c r="C85" s="66" t="n"/>
      <c r="D85" s="66" t="n"/>
      <c r="E85" s="66" t="n"/>
      <c r="F85" s="66" t="n"/>
      <c r="G85" s="66" t="n"/>
      <c r="H85" s="66" t="n"/>
      <c r="I85" s="66" t="n"/>
      <c r="J85" s="60" t="n"/>
    </row>
    <row r="86">
      <c r="A86" s="66" t="n"/>
      <c r="B86" s="67" t="n"/>
      <c r="C86" s="66" t="n"/>
      <c r="D86" s="66" t="n"/>
      <c r="E86" s="66" t="n"/>
      <c r="F86" s="66" t="n"/>
      <c r="G86" s="66" t="n"/>
      <c r="H86" s="66" t="n"/>
      <c r="I86" s="66" t="n"/>
      <c r="J86" s="60" t="n"/>
    </row>
    <row r="87">
      <c r="A87" s="66" t="n"/>
      <c r="B87" s="67" t="n"/>
      <c r="C87" s="66" t="n"/>
      <c r="D87" s="66" t="n"/>
      <c r="E87" s="66" t="n"/>
      <c r="F87" s="66" t="n"/>
      <c r="G87" s="66" t="n"/>
      <c r="H87" s="66" t="n"/>
      <c r="I87" s="66" t="n"/>
      <c r="J87" s="60" t="n"/>
    </row>
    <row r="88">
      <c r="A88" s="66" t="n"/>
      <c r="B88" s="67" t="n"/>
      <c r="C88" s="66" t="n"/>
      <c r="D88" s="66" t="n"/>
      <c r="E88" s="66" t="n"/>
      <c r="F88" s="66" t="n"/>
      <c r="G88" s="66" t="n"/>
      <c r="H88" s="66" t="n"/>
      <c r="I88" s="66" t="n"/>
      <c r="J88" s="60" t="n"/>
    </row>
    <row r="89">
      <c r="A89" s="66" t="n"/>
      <c r="B89" s="67" t="n"/>
      <c r="C89" s="66" t="n"/>
      <c r="D89" s="66" t="n"/>
      <c r="E89" s="66" t="n"/>
      <c r="F89" s="66" t="n"/>
      <c r="G89" s="66" t="n"/>
      <c r="H89" s="66" t="n"/>
      <c r="I89" s="66" t="n"/>
      <c r="J89" s="60" t="n"/>
    </row>
    <row r="90">
      <c r="A90" s="66" t="n"/>
      <c r="B90" s="67" t="n"/>
      <c r="C90" s="66" t="n"/>
      <c r="D90" s="66" t="n"/>
      <c r="E90" s="66" t="n"/>
      <c r="F90" s="66" t="n"/>
      <c r="G90" s="66" t="n"/>
      <c r="H90" s="66" t="n"/>
      <c r="I90" s="66" t="n"/>
      <c r="J90" s="60" t="n"/>
    </row>
    <row r="91">
      <c r="A91" s="66" t="n"/>
      <c r="B91" s="67" t="n"/>
      <c r="C91" s="66" t="n"/>
      <c r="D91" s="66" t="n"/>
      <c r="E91" s="66" t="n"/>
      <c r="F91" s="66" t="n"/>
      <c r="G91" s="66" t="n"/>
      <c r="H91" s="66" t="n"/>
      <c r="I91" s="66" t="n"/>
      <c r="J91" s="60" t="n"/>
    </row>
    <row r="92">
      <c r="A92" s="66" t="n"/>
      <c r="B92" s="67" t="n"/>
      <c r="C92" s="66" t="n"/>
      <c r="D92" s="66" t="n"/>
      <c r="E92" s="66" t="n"/>
      <c r="F92" s="66" t="n"/>
      <c r="G92" s="66" t="n"/>
      <c r="H92" s="66" t="n"/>
      <c r="I92" s="66" t="n"/>
      <c r="J92" s="60" t="n"/>
    </row>
    <row r="93">
      <c r="A93" s="66" t="n"/>
      <c r="B93" s="67" t="n"/>
      <c r="C93" s="66" t="n"/>
      <c r="D93" s="66" t="n"/>
      <c r="E93" s="66" t="n"/>
      <c r="F93" s="66" t="n"/>
      <c r="G93" s="66" t="n"/>
      <c r="H93" s="66" t="n"/>
      <c r="I93" s="66" t="n"/>
      <c r="J93" s="60" t="n"/>
    </row>
    <row r="94">
      <c r="A94" s="66" t="n"/>
      <c r="B94" s="67" t="n"/>
      <c r="C94" s="66" t="n"/>
      <c r="D94" s="66" t="n"/>
      <c r="E94" s="66" t="n"/>
      <c r="F94" s="66" t="n"/>
      <c r="G94" s="66" t="n"/>
      <c r="H94" s="66" t="n"/>
      <c r="I94" s="66" t="n"/>
      <c r="J94" s="60" t="n"/>
    </row>
    <row r="95">
      <c r="A95" s="66" t="n"/>
      <c r="B95" s="67" t="n"/>
      <c r="C95" s="66" t="n"/>
      <c r="D95" s="66" t="n"/>
      <c r="E95" s="66" t="n"/>
      <c r="F95" s="66" t="n"/>
      <c r="G95" s="66" t="n"/>
      <c r="H95" s="66" t="n"/>
      <c r="I95" s="66" t="n"/>
      <c r="J95" s="60" t="n"/>
    </row>
    <row r="96">
      <c r="A96" s="66" t="n"/>
      <c r="B96" s="67" t="n"/>
      <c r="C96" s="66" t="n"/>
      <c r="D96" s="66" t="n"/>
      <c r="E96" s="66" t="n"/>
      <c r="F96" s="66" t="n"/>
      <c r="G96" s="66" t="n"/>
      <c r="H96" s="66" t="n"/>
      <c r="I96" s="66" t="n"/>
      <c r="J96" s="60" t="n"/>
    </row>
    <row r="97">
      <c r="A97" s="66" t="n"/>
      <c r="B97" s="67" t="n"/>
      <c r="C97" s="66" t="n"/>
      <c r="D97" s="66" t="n"/>
      <c r="E97" s="66" t="n"/>
      <c r="F97" s="66" t="n"/>
      <c r="G97" s="66" t="n"/>
      <c r="H97" s="66" t="n"/>
      <c r="I97" s="66" t="n"/>
      <c r="J97" s="60" t="n"/>
    </row>
    <row r="98">
      <c r="A98" s="66" t="n"/>
      <c r="B98" s="67" t="n"/>
      <c r="C98" s="66" t="n"/>
      <c r="D98" s="66" t="n"/>
      <c r="E98" s="66" t="n"/>
      <c r="F98" s="66" t="n"/>
      <c r="G98" s="66" t="n"/>
      <c r="H98" s="66" t="n"/>
      <c r="I98" s="66" t="n"/>
      <c r="J98" s="60" t="n"/>
    </row>
    <row r="99">
      <c r="A99" s="66" t="n"/>
      <c r="B99" s="67" t="n"/>
      <c r="C99" s="66" t="n"/>
      <c r="D99" s="66" t="n"/>
      <c r="E99" s="66" t="n"/>
      <c r="F99" s="66" t="n"/>
      <c r="G99" s="66" t="n"/>
      <c r="H99" s="66" t="n"/>
      <c r="I99" s="66" t="n"/>
      <c r="J99" s="60" t="n"/>
    </row>
    <row r="100">
      <c r="A100" s="66" t="n"/>
      <c r="B100" s="67" t="n"/>
      <c r="C100" s="66" t="n"/>
      <c r="D100" s="66" t="n"/>
      <c r="E100" s="66" t="n"/>
      <c r="F100" s="66" t="n"/>
      <c r="G100" s="66" t="n"/>
      <c r="H100" s="66" t="n"/>
      <c r="I100" s="66" t="n"/>
      <c r="J100" s="60" t="n"/>
    </row>
    <row r="101">
      <c r="A101" s="66" t="n"/>
      <c r="B101" s="67" t="n"/>
      <c r="C101" s="66" t="n"/>
      <c r="D101" s="66" t="n"/>
      <c r="E101" s="66" t="n"/>
      <c r="F101" s="66" t="n"/>
      <c r="G101" s="66" t="n"/>
      <c r="H101" s="66" t="n"/>
      <c r="I101" s="66" t="n"/>
      <c r="J101" s="60" t="n"/>
    </row>
  </sheetData>
  <mergeCells count="17">
    <mergeCell ref="A4:B4"/>
    <mergeCell ref="C4:J4"/>
    <mergeCell ref="B72:J72"/>
    <mergeCell ref="A1:J1"/>
    <mergeCell ref="A2:B2"/>
    <mergeCell ref="C3:J3"/>
    <mergeCell ref="B69:J69"/>
    <mergeCell ref="B70:J70"/>
    <mergeCell ref="A68:B68"/>
    <mergeCell ref="C6:J6"/>
    <mergeCell ref="A5:B5"/>
    <mergeCell ref="C2:J2"/>
    <mergeCell ref="B71:J71"/>
    <mergeCell ref="C5:J5"/>
    <mergeCell ref="B73:J73"/>
    <mergeCell ref="A3:B3"/>
    <mergeCell ref="A6:B6"/>
  </mergeCells>
  <pageMargins left="0.25" right="0.25" top="0.75" bottom="0.75" header="0.3" footer="0.3"/>
  <pageSetup orientation="landscape" scale="74" fitToHeight="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J93"/>
  <sheetViews>
    <sheetView topLeftCell="A59" zoomScaleNormal="100" workbookViewId="0">
      <selection activeCell="I59" sqref="I59"/>
    </sheetView>
  </sheetViews>
  <sheetFormatPr baseColWidth="10" defaultRowHeight="12.75"/>
  <cols>
    <col width="30.5703125" customWidth="1" style="6" min="1" max="1"/>
    <col width="12.140625" bestFit="1" customWidth="1" style="38" min="2" max="2"/>
    <col width="14.28515625" bestFit="1" customWidth="1" style="6" min="3" max="3"/>
    <col width="15.42578125" bestFit="1" customWidth="1" style="6" min="4" max="4"/>
    <col width="14.7109375" customWidth="1" style="6" min="5" max="5"/>
    <col width="15.140625" customWidth="1" style="6" min="6" max="6"/>
    <col width="10.85546875" customWidth="1" style="6" min="7" max="7"/>
    <col width="10.5703125" customWidth="1" style="6" min="8" max="8"/>
    <col width="56.140625" customWidth="1" style="6" min="9" max="9"/>
    <col width="0.140625" customWidth="1" style="6" min="10" max="10"/>
    <col width="26.42578125" customWidth="1" style="6" min="11" max="11"/>
    <col width="11.42578125" customWidth="1" style="6" min="12" max="16384"/>
  </cols>
  <sheetData>
    <row r="1" ht="18" customHeight="1">
      <c r="A1" s="75" t="inlineStr">
        <is>
          <t>INFORME DE TAREAS POR CADA UNA DE LA ACTIVIDADES DEL CONTRATO DE PRESTACIÓN DE SERVICIOS</t>
        </is>
      </c>
      <c r="B1" s="98" t="n"/>
      <c r="C1" s="98" t="n"/>
      <c r="D1" s="98" t="n"/>
      <c r="E1" s="98" t="n"/>
      <c r="F1" s="98" t="n"/>
      <c r="G1" s="98" t="n"/>
      <c r="H1" s="98" t="n"/>
      <c r="I1" s="98" t="n"/>
      <c r="J1" s="99" t="n"/>
    </row>
    <row r="2">
      <c r="A2" s="75" t="inlineStr">
        <is>
          <t>No. CONVENIO O CONTRATO:</t>
        </is>
      </c>
      <c r="B2" s="99" t="n"/>
      <c r="C2" s="76" t="inlineStr">
        <is>
          <t>2025.10.05.06.586</t>
        </is>
      </c>
      <c r="D2" s="98" t="n"/>
      <c r="E2" s="98" t="n"/>
      <c r="F2" s="98" t="n"/>
      <c r="G2" s="98" t="n"/>
      <c r="H2" s="98" t="n"/>
      <c r="I2" s="98" t="n"/>
      <c r="J2" s="99" t="n"/>
    </row>
    <row r="3" ht="27.75" customHeight="1">
      <c r="A3" s="75" t="inlineStr">
        <is>
          <t>OBJETO DEL CONTRATO:</t>
        </is>
      </c>
      <c r="B3" s="99" t="n"/>
      <c r="C3" s="77" t="inlineStr">
        <is>
          <t>CONTRATO DE PRESTACIÓN DE SERVICIOS DE APOYO A LA GESTION PARA LA ASISTENCIA TECNICAEN TODA LA INFRAESTRUCTURA TECNOLÓGICA DE LA ADMINISTRACIÓN MUNICIPAL DE LA CEJA DEL TAMBO</t>
        </is>
      </c>
      <c r="D3" s="98" t="n"/>
      <c r="E3" s="98" t="n"/>
      <c r="F3" s="98" t="n"/>
      <c r="G3" s="98" t="n"/>
      <c r="H3" s="98" t="n"/>
      <c r="I3" s="98" t="n"/>
      <c r="J3" s="99" t="n"/>
    </row>
    <row r="4">
      <c r="A4" s="75" t="inlineStr">
        <is>
          <t>NOMBRE DEL CONTRATISTA:</t>
        </is>
      </c>
      <c r="B4" s="99" t="n"/>
      <c r="C4" s="76" t="inlineStr">
        <is>
          <t>STEVEN ALEJANDRO RUIZ RENDON</t>
        </is>
      </c>
      <c r="D4" s="98" t="n"/>
      <c r="E4" s="98" t="n"/>
      <c r="F4" s="98" t="n"/>
      <c r="G4" s="98" t="n"/>
      <c r="H4" s="98" t="n"/>
      <c r="I4" s="98" t="n"/>
      <c r="J4" s="99" t="n"/>
    </row>
    <row r="5" ht="13.5" customHeight="1">
      <c r="A5" s="75" t="inlineStr">
        <is>
          <t>No DE IDENTIFICACIÓN:</t>
        </is>
      </c>
      <c r="B5" s="99" t="n"/>
      <c r="C5" s="80" t="inlineStr">
        <is>
          <t>1,036,964,737</t>
        </is>
      </c>
      <c r="D5" s="98" t="n"/>
      <c r="E5" s="98" t="n"/>
      <c r="F5" s="98" t="n"/>
      <c r="G5" s="98" t="n"/>
      <c r="H5" s="98" t="n"/>
      <c r="I5" s="98" t="n"/>
      <c r="J5" s="99" t="n"/>
    </row>
    <row r="6" ht="15.75" customHeight="1">
      <c r="A6" s="75" t="inlineStr">
        <is>
          <t>FECHA DE ACTIVIDADES:</t>
        </is>
      </c>
      <c r="B6" s="99" t="n"/>
      <c r="C6" s="76" t="inlineStr">
        <is>
          <t>22 de Octubre de 2025 al 21 de Noviembre de 2025</t>
        </is>
      </c>
      <c r="D6" s="98" t="n"/>
      <c r="E6" s="98" t="n"/>
      <c r="F6" s="98" t="n"/>
      <c r="G6" s="98" t="n"/>
      <c r="H6" s="98" t="n"/>
      <c r="I6" s="98" t="n"/>
      <c r="J6" s="99" t="n"/>
    </row>
    <row r="7" ht="25.5" customHeight="1">
      <c r="A7" s="1" t="inlineStr">
        <is>
          <t>TIPO DE ACTIVIDAD</t>
        </is>
      </c>
      <c r="B7" s="29" t="inlineStr">
        <is>
          <t>FECHA</t>
        </is>
      </c>
      <c r="C7" s="30" t="inlineStr">
        <is>
          <t>DEPENDENCIA</t>
        </is>
      </c>
      <c r="D7" s="2" t="inlineStr">
        <is>
          <t>SOLICITANTE</t>
        </is>
      </c>
      <c r="E7" s="2" t="inlineStr">
        <is>
          <t>TIPO DE SOLICITUD</t>
        </is>
      </c>
      <c r="F7" s="1" t="inlineStr">
        <is>
          <t>MEDIO DE SOLICITUD</t>
        </is>
      </c>
      <c r="G7" s="1" t="inlineStr">
        <is>
          <t>CUMPLIDO</t>
        </is>
      </c>
      <c r="H7" s="1" t="inlineStr">
        <is>
          <t>FECHA ATENCIÓN</t>
        </is>
      </c>
      <c r="I7" s="2" t="inlineStr">
        <is>
          <t>OBSERVACIONES</t>
        </is>
      </c>
    </row>
    <row r="8" ht="150.75" customHeight="1">
      <c r="A8"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8" s="31" t="n">
        <v>45954</v>
      </c>
      <c r="C8" s="26" t="inlineStr">
        <is>
          <t>Familia</t>
        </is>
      </c>
      <c r="D8" s="26" t="inlineStr">
        <is>
          <t>Maria Alejandra</t>
        </is>
      </c>
      <c r="E8" s="27" t="inlineStr">
        <is>
          <t>MANTENIMIENTO CORRECTIVO</t>
        </is>
      </c>
      <c r="F8" s="28" t="inlineStr">
        <is>
          <t>LLAMADA TELEFÓNICA</t>
        </is>
      </c>
      <c r="G8" s="8" t="inlineStr">
        <is>
          <t>SI</t>
        </is>
      </c>
      <c r="H8" s="31" t="n">
        <v>45954</v>
      </c>
      <c r="I8" s="26" t="inlineStr">
        <is>
          <t>En Familia solicitan revisar la impresora que no imprime, se revisa la impresora y se debe cambiar el toner. Se cambia el toner y queda funcionando</t>
        </is>
      </c>
    </row>
    <row r="9" ht="150" customHeight="1">
      <c r="A9"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9" s="31" t="n">
        <v>45957</v>
      </c>
      <c r="C9" s="26" t="inlineStr">
        <is>
          <t>Subsecretaria de Familia</t>
        </is>
      </c>
      <c r="D9" s="26" t="inlineStr">
        <is>
          <t>Maria Alejandra</t>
        </is>
      </c>
      <c r="E9" s="27" t="inlineStr">
        <is>
          <t>APOYO TECNOLÓGICO</t>
        </is>
      </c>
      <c r="F9" s="28" t="inlineStr">
        <is>
          <t>LLAMADA TELEFÓNICA</t>
        </is>
      </c>
      <c r="G9" s="8" t="inlineStr">
        <is>
          <t>SI</t>
        </is>
      </c>
      <c r="H9" s="31" t="n">
        <v>45957</v>
      </c>
      <c r="I9" s="26" t="inlineStr">
        <is>
          <t>Se realiza el cambio del carto¿ucho de toner negro, y se aegura de que este quede funcionando correctamente</t>
        </is>
      </c>
    </row>
    <row r="10" ht="150" customHeight="1">
      <c r="A10"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0" s="31" t="n">
        <v>45957</v>
      </c>
      <c r="C10" s="26" t="inlineStr">
        <is>
          <t>DESARROLLO ECONÓMICO</t>
        </is>
      </c>
      <c r="D10" s="26" t="inlineStr">
        <is>
          <t>Carolina</t>
        </is>
      </c>
      <c r="E10" s="27" t="inlineStr">
        <is>
          <t>ASESORÍA Y ASISTENCIA</t>
        </is>
      </c>
      <c r="F10" s="28" t="inlineStr">
        <is>
          <t>E-MAIL</t>
        </is>
      </c>
      <c r="G10" s="8" t="inlineStr">
        <is>
          <t>SI</t>
        </is>
      </c>
      <c r="H10" s="31" t="n">
        <v>45957</v>
      </c>
      <c r="I10" s="26" t="inlineStr">
        <is>
          <t>Se solicita la creacion de un nuevo para un tecnico, que utilizara el equipo, se deja la informacion que el solicitante considero pertienente y necesaria</t>
        </is>
      </c>
    </row>
    <row r="11" ht="153" customHeight="1">
      <c r="A11"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1" s="31" t="n">
        <v>45957</v>
      </c>
      <c r="C11" s="26" t="inlineStr">
        <is>
          <t>DEPARTAMENTO GENERAL</t>
        </is>
      </c>
      <c r="D11" s="26" t="inlineStr">
        <is>
          <t>Elizabeth</t>
        </is>
      </c>
      <c r="E11" s="27" t="inlineStr">
        <is>
          <t>MANTENIMIENTO CORRECTIVO</t>
        </is>
      </c>
      <c r="F11" s="28" t="inlineStr">
        <is>
          <t>SOLICITUD VERBAL</t>
        </is>
      </c>
      <c r="G11" s="8" t="inlineStr">
        <is>
          <t>SI</t>
        </is>
      </c>
      <c r="H11" s="31" t="n">
        <v>45957</v>
      </c>
      <c r="I11" s="26" t="inlineStr">
        <is>
          <t xml:space="preserve">Se realiza el destasco del papel en la impresora, pertiendo asi su correcto funcionamiento </t>
        </is>
      </c>
    </row>
    <row r="12" ht="150" customHeight="1">
      <c r="A12"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2" s="31" t="n">
        <v>45959</v>
      </c>
      <c r="C12" s="26" t="inlineStr">
        <is>
          <t>CENTRO DÍA</t>
        </is>
      </c>
      <c r="D12" s="26" t="inlineStr">
        <is>
          <t>Jhon Galvis</t>
        </is>
      </c>
      <c r="E12" s="27" t="inlineStr">
        <is>
          <t>MANTENIMIENTO CORRECTIVO</t>
        </is>
      </c>
      <c r="F12" s="28" t="inlineStr">
        <is>
          <t>SOLICITUD VERBAL</t>
        </is>
      </c>
      <c r="G12" s="8" t="inlineStr">
        <is>
          <t>SI</t>
        </is>
      </c>
      <c r="H12" s="31" t="n">
        <v>45959</v>
      </c>
      <c r="I12" s="26" t="inlineStr">
        <is>
          <t>Se solicita mantenimiento a la impresora Epson L575, debeido a que al imprimir la tinta negra no se aplicaba, se realiza limpieza de cabezales y una prueba de limpieza</t>
        </is>
      </c>
    </row>
    <row r="13" ht="155.25" customHeight="1">
      <c r="A13"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3" s="31" t="n">
        <v>45959</v>
      </c>
      <c r="C13" s="26" t="inlineStr">
        <is>
          <t>CENTRO DÍA</t>
        </is>
      </c>
      <c r="D13" s="26" t="inlineStr">
        <is>
          <t>Jhon Galvis</t>
        </is>
      </c>
      <c r="E13" s="27" t="inlineStr">
        <is>
          <t>MANTENIMIENTO PREVENTIVO</t>
        </is>
      </c>
      <c r="F13" s="28" t="inlineStr">
        <is>
          <t>SOLICITUD VERBAL</t>
        </is>
      </c>
      <c r="G13" s="8" t="inlineStr">
        <is>
          <t>SI</t>
        </is>
      </c>
      <c r="H13" s="31" t="n">
        <v>45959</v>
      </c>
      <c r="I13" s="26" t="inlineStr">
        <is>
          <t>Se hace un reposición de la tinta de la impresora L575, especialmente la tinta negra</t>
        </is>
      </c>
    </row>
    <row r="14" ht="155.25" customHeight="1">
      <c r="A14"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4" s="31" t="n">
        <v>45966</v>
      </c>
      <c r="C14" s="26" t="inlineStr">
        <is>
          <t>Talleres</t>
        </is>
      </c>
      <c r="D14" s="26" t="inlineStr">
        <is>
          <t>Armando</t>
        </is>
      </c>
      <c r="E14" s="27" t="inlineStr">
        <is>
          <t>MANTENIMIENTO PREVENTIVO</t>
        </is>
      </c>
      <c r="F14" s="28" t="inlineStr">
        <is>
          <t>SOLICITUD VERBAL</t>
        </is>
      </c>
      <c r="G14" s="8" t="inlineStr">
        <is>
          <t>SI</t>
        </is>
      </c>
      <c r="H14" s="31" t="n">
        <v>45966</v>
      </c>
      <c r="I14" s="26" t="inlineStr">
        <is>
          <t xml:space="preserve">Se recarga la tinta de la impresora, llenadolas y dejando que la impresora verifique los niveles de tinta </t>
        </is>
      </c>
    </row>
    <row r="15" ht="150" customHeight="1">
      <c r="A15"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5" s="31" t="n">
        <v>45967</v>
      </c>
      <c r="C15" s="26" t="inlineStr">
        <is>
          <t>Subsecretaria de familia</t>
        </is>
      </c>
      <c r="D15" s="26" t="inlineStr">
        <is>
          <t>Liliana</t>
        </is>
      </c>
      <c r="E15" s="27" t="inlineStr">
        <is>
          <t>ASESORÍA Y ASISTENCIA</t>
        </is>
      </c>
      <c r="F15" s="28" t="inlineStr">
        <is>
          <t>SOLICITUD VERBAL</t>
        </is>
      </c>
      <c r="G15" s="8" t="n"/>
      <c r="H15" s="31" t="n">
        <v>45967</v>
      </c>
      <c r="I15" s="26" t="inlineStr">
        <is>
          <t>El solicitante solicita una revision ya que no le aparece el solicitante en el que el usuario trabaja, se hace la revision de que paso y se le enseño al solicitante como ingresa a su usario en caso de que alguien lo cambie</t>
        </is>
      </c>
    </row>
    <row r="16" ht="154.5" customHeight="1">
      <c r="A16"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6" s="31" t="n">
        <v>45968</v>
      </c>
      <c r="C16" s="26" t="inlineStr">
        <is>
          <t>OFICINA DE SISTEMAS</t>
        </is>
      </c>
      <c r="D16" s="26" t="inlineStr">
        <is>
          <t>Mario Henao</t>
        </is>
      </c>
      <c r="E16" s="27" t="inlineStr">
        <is>
          <t>ASESORÍA Y ASISTENCIA</t>
        </is>
      </c>
      <c r="F16" s="28" t="inlineStr">
        <is>
          <t>SOLICITUD VERBAL</t>
        </is>
      </c>
      <c r="G16" s="8" t="n"/>
      <c r="H16" s="31" t="n">
        <v>45968</v>
      </c>
      <c r="I16" s="26" t="inlineStr">
        <is>
          <t>Se solicita verificar junto con el asisitente tecnico las pregunta del plan de accion</t>
        </is>
      </c>
    </row>
    <row r="17" ht="156" customHeight="1">
      <c r="A17"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7" s="31" t="n">
        <v>45971</v>
      </c>
      <c r="C17" s="26" t="inlineStr">
        <is>
          <t>CASA DE JUSTICIA</t>
        </is>
      </c>
      <c r="D17" s="26" t="inlineStr">
        <is>
          <t>Luis Alejandro</t>
        </is>
      </c>
      <c r="E17" s="27" t="inlineStr">
        <is>
          <t>ASESORÍA Y ASISTENCIA</t>
        </is>
      </c>
      <c r="F17" s="28" t="inlineStr">
        <is>
          <t>SOLICITUD VERBAL</t>
        </is>
      </c>
      <c r="G17" s="8" t="inlineStr">
        <is>
          <t>SI</t>
        </is>
      </c>
      <c r="H17" s="31" t="n">
        <v>45971</v>
      </c>
      <c r="I17" s="26" t="inlineStr">
        <is>
          <t>El solicitante pide el cambio de la contraseña del usuario con el que ingresa al computador, ya que este, ni siqueira le dejaba cambiarla la que tenia, se verifica que el usuario quede ingresando al equipo</t>
        </is>
      </c>
    </row>
    <row r="18" ht="150" customHeight="1">
      <c r="A18"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8" s="31" t="n">
        <v>45974</v>
      </c>
      <c r="C18" s="26" t="inlineStr">
        <is>
          <t>HACIENDA</t>
        </is>
      </c>
      <c r="D18" s="26" t="inlineStr">
        <is>
          <t>Lina</t>
        </is>
      </c>
      <c r="E18" s="27" t="inlineStr">
        <is>
          <t>APOYO TECNOLÓGICO</t>
        </is>
      </c>
      <c r="F18" s="28" t="inlineStr">
        <is>
          <t>SOLICITUD VERBAL</t>
        </is>
      </c>
      <c r="G18" s="8" t="inlineStr">
        <is>
          <t>SI</t>
        </is>
      </c>
      <c r="H18" s="31" t="n">
        <v>45974</v>
      </c>
      <c r="I18" s="26" t="inlineStr">
        <is>
          <t>Debido a que la URL que enviaron estaba por recortada, el antivirus lo detecto como malware, se desisntala el antivirus miestras dura la capacitación</t>
        </is>
      </c>
    </row>
    <row r="19" ht="156" customHeight="1">
      <c r="A19"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19" s="31" t="n">
        <v>45974</v>
      </c>
      <c r="C19" s="26" t="inlineStr">
        <is>
          <t>CATASTRO</t>
        </is>
      </c>
      <c r="D19" s="26" t="inlineStr">
        <is>
          <t>Yolanda</t>
        </is>
      </c>
      <c r="E19" s="27" t="inlineStr">
        <is>
          <t>APOYO TECNOLÓGICO</t>
        </is>
      </c>
      <c r="F19" s="28" t="inlineStr">
        <is>
          <t>SOLICITUD VERBAL</t>
        </is>
      </c>
      <c r="G19" s="8" t="inlineStr">
        <is>
          <t>SI</t>
        </is>
      </c>
      <c r="H19" s="31" t="n">
        <v>45974</v>
      </c>
      <c r="I19" s="26" t="inlineStr">
        <is>
          <t>Debido a que la URL que enviaron estaba por recortada, el antivirus lo detecto como malware, se desisntala el antivirus miestras dura la capacitación</t>
        </is>
      </c>
    </row>
    <row r="20" ht="154.5" customHeight="1">
      <c r="A20"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0" s="31" t="n">
        <v>45974</v>
      </c>
      <c r="C20" s="26" t="inlineStr">
        <is>
          <t>HACIENDA</t>
        </is>
      </c>
      <c r="D20" s="26" t="inlineStr">
        <is>
          <t>Lina</t>
        </is>
      </c>
      <c r="E20" s="27" t="inlineStr">
        <is>
          <t>APOYO TECNOLÓGICO</t>
        </is>
      </c>
      <c r="F20" s="28" t="inlineStr">
        <is>
          <t>SOLICITUD VERBAL</t>
        </is>
      </c>
      <c r="G20" s="8" t="inlineStr">
        <is>
          <t>SI</t>
        </is>
      </c>
      <c r="H20" s="31" t="n">
        <v>45974</v>
      </c>
      <c r="I20" s="26" t="inlineStr">
        <is>
          <t>Debido a que la URL que enviaron estaba por recortada, el antivirus lo detecto como malware, se desisntala el antivirus miestras dura la capacitación</t>
        </is>
      </c>
    </row>
    <row r="21" ht="150" customHeight="1">
      <c r="A21"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1" s="31" t="n">
        <v>45974</v>
      </c>
      <c r="C21" s="26" t="inlineStr">
        <is>
          <t>HACIENDA</t>
        </is>
      </c>
      <c r="D21" s="26" t="inlineStr">
        <is>
          <t>Lina</t>
        </is>
      </c>
      <c r="E21" s="27" t="inlineStr">
        <is>
          <t>APOYO TECNOLÓGICO</t>
        </is>
      </c>
      <c r="F21" s="28" t="inlineStr">
        <is>
          <t>SOLICITUD VERBAL</t>
        </is>
      </c>
      <c r="G21" s="8" t="inlineStr">
        <is>
          <t>SI</t>
        </is>
      </c>
      <c r="H21" s="31" t="n">
        <v>45974</v>
      </c>
      <c r="I21" s="26" t="inlineStr">
        <is>
          <t>En pos de mantener la seguridad en los equipos de computo de la alcaldia, se reinstala el antivirus, en el equipo de computo</t>
        </is>
      </c>
    </row>
    <row r="22" ht="153" customHeight="1">
      <c r="A22"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2" s="31" t="n">
        <v>45974</v>
      </c>
      <c r="C22" s="26" t="inlineStr">
        <is>
          <t>CATASTRO</t>
        </is>
      </c>
      <c r="D22" s="26" t="inlineStr">
        <is>
          <t>Yolanda</t>
        </is>
      </c>
      <c r="E22" s="27" t="inlineStr">
        <is>
          <t>APOYO TECNOLÓGICO</t>
        </is>
      </c>
      <c r="F22" s="28" t="inlineStr">
        <is>
          <t>SOLICITUD VERBAL</t>
        </is>
      </c>
      <c r="G22" s="8" t="n"/>
      <c r="H22" s="31" t="n">
        <v>45974</v>
      </c>
      <c r="I22" s="26" t="inlineStr">
        <is>
          <t>En pos de mantener la seguridad en los equipos de computo de la alcaldia, se reinstala el antivirus, en el equipo de computo</t>
        </is>
      </c>
    </row>
    <row r="23" ht="150.75" customHeight="1">
      <c r="A23"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3" s="31" t="n">
        <v>45975</v>
      </c>
      <c r="C23" s="26" t="inlineStr">
        <is>
          <t>ALMACÉN MUNICIPAL</t>
        </is>
      </c>
      <c r="D23" s="26" t="inlineStr">
        <is>
          <t>Felipe</t>
        </is>
      </c>
      <c r="E23" s="27" t="inlineStr">
        <is>
          <t>APOYO TECNOLÓGICO</t>
        </is>
      </c>
      <c r="F23" s="28" t="inlineStr">
        <is>
          <t>SOLICITUD VERBAL</t>
        </is>
      </c>
      <c r="G23" s="8" t="n"/>
      <c r="H23" s="31" t="n">
        <v>45975</v>
      </c>
      <c r="I23" s="26" t="inlineStr">
        <is>
          <t>Debido a la confucion con otra dependencia que modifico algunos archivos del funcionaria, se perdio la informacion, el funcionario pide la restauracion de la informacion, y se le deja al funcionario la ultima version que el funcionario modifico</t>
        </is>
      </c>
    </row>
    <row r="24" ht="155.25" customHeight="1">
      <c r="A24"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4" s="31" t="inlineStr">
        <is>
          <t xml:space="preserve"> 14-nov-2025</t>
        </is>
      </c>
      <c r="C24" s="26" t="inlineStr">
        <is>
          <t>PERSONERIA</t>
        </is>
      </c>
      <c r="D24" s="26" t="inlineStr">
        <is>
          <t>Sara</t>
        </is>
      </c>
      <c r="E24" s="27" t="inlineStr">
        <is>
          <t>APOYO TECNOLÓGICO</t>
        </is>
      </c>
      <c r="F24" s="28" t="inlineStr">
        <is>
          <t>SOLICITUD VERBAL</t>
        </is>
      </c>
      <c r="G24" s="8" t="inlineStr">
        <is>
          <t>SI</t>
        </is>
      </c>
      <c r="H24" s="31" t="inlineStr">
        <is>
          <t xml:space="preserve"> 14-nov-2025</t>
        </is>
      </c>
      <c r="I24" s="26" t="inlineStr">
        <is>
          <t>La solicitante pide el scaner para un computador portatil, se instalan los controladores, se prueba y se muestra el funcionamiento del scnaer en el equipo</t>
        </is>
      </c>
    </row>
    <row r="25" ht="156.75" customHeight="1">
      <c r="A25"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5" s="31" t="n">
        <v>45975</v>
      </c>
      <c r="C25" s="26" t="inlineStr">
        <is>
          <t>PERSONERIA</t>
        </is>
      </c>
      <c r="D25" s="26" t="inlineStr">
        <is>
          <t>Abogada personeria</t>
        </is>
      </c>
      <c r="E25" s="27" t="inlineStr">
        <is>
          <t>APOYO TECNOLÓGICO</t>
        </is>
      </c>
      <c r="F25" s="28" t="inlineStr">
        <is>
          <t>SOLICITUD VERBAL</t>
        </is>
      </c>
      <c r="G25" s="8" t="inlineStr">
        <is>
          <t>SI</t>
        </is>
      </c>
      <c r="H25" s="31" t="n">
        <v>45975</v>
      </c>
      <c r="I25" s="26" t="inlineStr">
        <is>
          <t>La solicitante pide que se le ponga el programa para manejar los pdfs como Adobe Acrobat, se cambia el programa y se le deja mustra a la solicitante</t>
        </is>
      </c>
    </row>
    <row r="26" ht="150.75" customHeight="1">
      <c r="A26"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6" s="31" t="n">
        <v>45975</v>
      </c>
      <c r="C26" s="26" t="inlineStr">
        <is>
          <t>PERSONERIA</t>
        </is>
      </c>
      <c r="D26" s="26" t="inlineStr">
        <is>
          <t>Sara</t>
        </is>
      </c>
      <c r="E26" s="27" t="inlineStr">
        <is>
          <t>APOYO TECNOLÓGICO</t>
        </is>
      </c>
      <c r="F26" s="28" t="inlineStr">
        <is>
          <t>SOLICITUD VERBAL</t>
        </is>
      </c>
      <c r="G26" s="8" t="inlineStr">
        <is>
          <t>SI</t>
        </is>
      </c>
      <c r="H26" s="31" t="n">
        <v>45975</v>
      </c>
      <c r="I26" s="26" t="inlineStr">
        <is>
          <t>Se solicita cambiar una impresora al puesto de la solicitante, se mueve la impresora y se deja funcioando, mostrandole que la impresora queda funcionando</t>
        </is>
      </c>
    </row>
    <row r="27" ht="151.5" customHeight="1">
      <c r="A27"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7" s="31" t="n">
        <v>45979</v>
      </c>
      <c r="C27" s="26" t="inlineStr">
        <is>
          <t>CASA DE JUSTICIA</t>
        </is>
      </c>
      <c r="D27" s="26" t="inlineStr">
        <is>
          <t>Lorena</t>
        </is>
      </c>
      <c r="E27" s="27" t="inlineStr">
        <is>
          <t>APOYO TECNOLÓGICO</t>
        </is>
      </c>
      <c r="F27" s="28" t="inlineStr">
        <is>
          <t>LLAMADA TELEFÓNICA</t>
        </is>
      </c>
      <c r="G27" s="8" t="n"/>
      <c r="H27" s="31" t="n">
        <v>45979</v>
      </c>
      <c r="I27" s="26" t="inlineStr">
        <is>
          <t>La solicitante pide ayuda con respecto a al toner de la impresora de las secretarias de comisaria, se le muestra el informe de como va la tinta y que solicite un nuevo toner</t>
        </is>
      </c>
    </row>
    <row r="28" ht="156.75" customHeight="1">
      <c r="A28"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8" s="31" t="n">
        <v>45979</v>
      </c>
      <c r="C28" s="26" t="inlineStr">
        <is>
          <t>PLANEACIÓN</t>
        </is>
      </c>
      <c r="D28" s="26" t="inlineStr">
        <is>
          <t>Maria Rosmira</t>
        </is>
      </c>
      <c r="E28" s="27" t="inlineStr">
        <is>
          <t>MANTENIMIENTO CORRECTIVO</t>
        </is>
      </c>
      <c r="F28" s="28" t="inlineStr">
        <is>
          <t>SOLICITUD VERBAL</t>
        </is>
      </c>
      <c r="G28" s="8" t="n"/>
      <c r="H28" s="31" t="n">
        <v>45979</v>
      </c>
      <c r="I28" s="26" t="inlineStr">
        <is>
          <t>Se solicita recarga de tinta de un epson, se recarga la tinta y se le muestra que se realizo la recarga de la tinta continua</t>
        </is>
      </c>
    </row>
    <row r="29" ht="156" customHeight="1">
      <c r="A29"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29" s="31" t="n">
        <v>45979</v>
      </c>
      <c r="C29" s="26" t="inlineStr">
        <is>
          <t>PROTECCIÓN SOCIAL</t>
        </is>
      </c>
      <c r="D29" s="26" t="inlineStr">
        <is>
          <t>Jeison</t>
        </is>
      </c>
      <c r="E29" s="27" t="inlineStr">
        <is>
          <t>APOYO TECNOLÓGICO</t>
        </is>
      </c>
      <c r="F29" s="28" t="inlineStr">
        <is>
          <t>SOLICITUD VERBAL</t>
        </is>
      </c>
      <c r="G29" s="8" t="inlineStr">
        <is>
          <t>SI</t>
        </is>
      </c>
      <c r="H29" s="31" t="n">
        <v>45979</v>
      </c>
      <c r="I29" s="26" t="inlineStr">
        <is>
          <t>En haras del uso por parte de la gobernacion donde solicitan que el funcionario debe de tener la aplicacion anydesk</t>
        </is>
      </c>
    </row>
    <row r="30" ht="156" customHeight="1">
      <c r="A30"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0" s="31" t="n">
        <v>45979</v>
      </c>
      <c r="C30" s="26" t="inlineStr">
        <is>
          <t>PROTECCIÓN SOCIAL</t>
        </is>
      </c>
      <c r="D30" s="26" t="inlineStr">
        <is>
          <t>Yeisson</t>
        </is>
      </c>
      <c r="E30" s="27" t="inlineStr">
        <is>
          <t>APOYO TECNOLÓGICO</t>
        </is>
      </c>
      <c r="F30" s="28" t="inlineStr">
        <is>
          <t>SOLICITUD VERBAL</t>
        </is>
      </c>
      <c r="G30" s="8" t="inlineStr">
        <is>
          <t>SI</t>
        </is>
      </c>
      <c r="H30" s="31" t="n">
        <v>45979</v>
      </c>
      <c r="I30" s="26" t="inlineStr">
        <is>
          <t>El funcionario solicita para la revision en el software de salud, puesto que para lo que necesitaba esta pidiendo una revision que se logra quitando el programa y volviendo a instalar el programa</t>
        </is>
      </c>
    </row>
    <row r="31" ht="156" customHeight="1">
      <c r="A31"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1" s="31" t="n">
        <v>45980</v>
      </c>
      <c r="C31" s="26" t="inlineStr">
        <is>
          <t>GESTIÓN HUMANA</t>
        </is>
      </c>
      <c r="D31" s="26" t="inlineStr">
        <is>
          <t>Margarita</t>
        </is>
      </c>
      <c r="E31" s="27" t="inlineStr">
        <is>
          <t>APOYO TECNOLÓGICO</t>
        </is>
      </c>
      <c r="F31" s="28" t="inlineStr">
        <is>
          <t>SOLICITUD VERBAL</t>
        </is>
      </c>
      <c r="G31" s="8" t="inlineStr">
        <is>
          <t>SI</t>
        </is>
      </c>
      <c r="H31" s="31" t="n">
        <v>45980</v>
      </c>
      <c r="I31" s="26" t="inlineStr">
        <is>
          <t>Permisos para el uso de la aplicacion anydesk para el uso de una reunion, permitiendo asi realzar las funciones correspondientes</t>
        </is>
      </c>
    </row>
    <row r="32" ht="148.5" customHeight="1">
      <c r="A32"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2" s="31" t="n">
        <v>45980</v>
      </c>
      <c r="C32" s="26" t="inlineStr">
        <is>
          <t>PLANEACIÓN</t>
        </is>
      </c>
      <c r="D32" s="26" t="inlineStr">
        <is>
          <t>Estefania</t>
        </is>
      </c>
      <c r="E32" s="27" t="inlineStr">
        <is>
          <t>MANTENIMIENTO CORRECTIVO</t>
        </is>
      </c>
      <c r="F32" s="28" t="inlineStr">
        <is>
          <t>SOLICITUD VERBAL</t>
        </is>
      </c>
      <c r="G32" s="8" t="inlineStr">
        <is>
          <t>SI</t>
        </is>
      </c>
      <c r="H32" s="31" t="n">
        <v>45980</v>
      </c>
      <c r="I32" s="26" t="inlineStr">
        <is>
          <t>El aplicactivo de uso y gestion de los archivos .pdf no se mostraban correctamente la informacion a imprimir, se re-instala la aplicacion requerida y se deja en evidencia que la aplicacion queda funcionando</t>
        </is>
      </c>
    </row>
    <row r="33" ht="153" customHeight="1">
      <c r="A33"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3" s="31" t="n">
        <v>45980</v>
      </c>
      <c r="C33" s="26" t="inlineStr">
        <is>
          <t>CASA DE JUSTICIA</t>
        </is>
      </c>
      <c r="D33" s="26" t="inlineStr">
        <is>
          <t>Lorena</t>
        </is>
      </c>
      <c r="E33" s="27" t="inlineStr">
        <is>
          <t>MANTENIMIENTO CORRECTIVO</t>
        </is>
      </c>
      <c r="F33" s="28" t="inlineStr">
        <is>
          <t>SOLICITUD VERBAL</t>
        </is>
      </c>
      <c r="G33" s="8" t="inlineStr">
        <is>
          <t>SI</t>
        </is>
      </c>
      <c r="H33" s="31" t="n">
        <v>45980</v>
      </c>
      <c r="I33" s="26" t="inlineStr">
        <is>
          <t>La funcionaria solicta el apoyo en la instalacion de un toner en la impresora de comisaria, se instala el toner y se deja evidenciado el funcionamiento correto de la impresora con el nuevo toner</t>
        </is>
      </c>
    </row>
    <row r="34" ht="156.75" customHeight="1">
      <c r="A34"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4" s="31" t="n">
        <v>45980</v>
      </c>
      <c r="C34" s="26" t="inlineStr">
        <is>
          <t>CASA DE JUSTICIA</t>
        </is>
      </c>
      <c r="D34" s="26" t="inlineStr">
        <is>
          <t>Sandra</t>
        </is>
      </c>
      <c r="E34" s="27" t="inlineStr">
        <is>
          <t>MANTENIMIENTO CORRECTIVO</t>
        </is>
      </c>
      <c r="F34" s="28" t="inlineStr">
        <is>
          <t>SOLICITUD VERBAL</t>
        </is>
      </c>
      <c r="G34" s="8" t="inlineStr">
        <is>
          <t>SI</t>
        </is>
      </c>
      <c r="H34" s="31" t="n">
        <v>45980</v>
      </c>
      <c r="I34" s="26" t="inlineStr">
        <is>
          <t>La funcionaria solicita la revision con la impresora, y se deja evidenciado la conexion con la impresora, ademas, la funcionaria solicita el cambio de contraseña del equipo y se le deja evidenciado el cambio de contraseña</t>
        </is>
      </c>
    </row>
    <row r="35" ht="153" customHeight="1">
      <c r="A35" s="26" t="inlineStr">
        <is>
          <t>Brindar apoyo en la atencion de requerimientos tecnicos de primer nivel a los usuario de la administracion Municipal, atendiendo incidentes relacionados con el funcionamiento de equipos de computo, impresoras, configuracion de software y otros perifericos.</t>
        </is>
      </c>
      <c r="B35" s="31" t="n">
        <v>45981</v>
      </c>
      <c r="C35" s="26" t="inlineStr">
        <is>
          <t>HACIENDA</t>
        </is>
      </c>
      <c r="D35" s="26" t="inlineStr">
        <is>
          <t>Lina</t>
        </is>
      </c>
      <c r="E35" s="27" t="inlineStr">
        <is>
          <t>ASESORÍA Y ASISTENCIA</t>
        </is>
      </c>
      <c r="F35" s="28" t="inlineStr">
        <is>
          <t>SOLICITUD VERBAL</t>
        </is>
      </c>
      <c r="G35" s="8" t="inlineStr">
        <is>
          <t>SI</t>
        </is>
      </c>
      <c r="H35" s="31" t="n">
        <v>45981</v>
      </c>
      <c r="I35" s="26" t="inlineStr">
        <is>
          <t>La funcionaria solicta para la grabacion de una reunion, se le deja evidenciado el funcionamiento de la grabacion</t>
        </is>
      </c>
    </row>
    <row r="36">
      <c r="A36" s="5" t="inlineStr">
        <is>
          <t>ACTIVIDADES: 27</t>
        </is>
      </c>
      <c r="B36" s="32" t="n"/>
      <c r="C36" s="21" t="n"/>
      <c r="D36" s="21" t="n"/>
      <c r="E36" s="21" t="n"/>
      <c r="F36" s="4" t="n"/>
      <c r="G36" s="8" t="n"/>
      <c r="H36" s="33" t="n"/>
      <c r="I36" s="21" t="n"/>
    </row>
    <row r="37" ht="45" customHeight="1">
      <c r="A37" s="26" t="inlineStr">
        <is>
          <t>Coadyuvar con las actividades del proceso del Sistema de Gestión de Calidad.</t>
        </is>
      </c>
      <c r="B37" s="34" t="n">
        <v>45957</v>
      </c>
      <c r="C37" s="26" t="inlineStr">
        <is>
          <t>Subsecretaria de Familia</t>
        </is>
      </c>
      <c r="D37" s="26" t="inlineStr">
        <is>
          <t>Liliana</t>
        </is>
      </c>
      <c r="E37" s="27" t="inlineStr">
        <is>
          <t>ASESORÍA Y ASISTENCIA</t>
        </is>
      </c>
      <c r="F37" s="28" t="inlineStr">
        <is>
          <t>E-MAIL</t>
        </is>
      </c>
      <c r="G37" s="8" t="inlineStr">
        <is>
          <t>SI</t>
        </is>
      </c>
      <c r="H37" s="31" t="n">
        <v>45957</v>
      </c>
      <c r="I37" s="26" t="inlineStr">
        <is>
          <t>Se crea un nuevo usuario para un contratista en la oficina de juridica, se asegura de que inicie correctamente</t>
        </is>
      </c>
    </row>
    <row r="38">
      <c r="A38" s="5" t="inlineStr">
        <is>
          <t>ACTIVIDADES: 1</t>
        </is>
      </c>
      <c r="B38" s="32" t="n"/>
      <c r="C38" s="21" t="n"/>
      <c r="D38" s="21" t="n"/>
      <c r="E38" s="21" t="n"/>
      <c r="F38" s="4" t="n"/>
      <c r="G38" s="8" t="n"/>
      <c r="H38" s="33" t="n"/>
      <c r="I38" s="21" t="n"/>
    </row>
    <row r="39" ht="141.75" customHeight="1">
      <c r="A39" s="26" t="inlineStr">
        <is>
          <t>Apoyar en otras activiaddes de carácter tecnico-operativo o administrativo relacionadas con la gestion de tecnologias de la información, que le sean asignadas por el supervisor del contrato o el Ordenador del Gasto, en concordancia con el objeto contractual.</t>
        </is>
      </c>
      <c r="B39" s="34" t="n">
        <v>45971</v>
      </c>
      <c r="C39" s="26" t="inlineStr">
        <is>
          <t>OFICINA DE SISTEMAS</t>
        </is>
      </c>
      <c r="D39" s="26" t="inlineStr">
        <is>
          <t>Mario Henao</t>
        </is>
      </c>
      <c r="E39" s="27" t="inlineStr">
        <is>
          <t>APOYO TECNOLÓGICO</t>
        </is>
      </c>
      <c r="F39" s="28" t="inlineStr">
        <is>
          <t>SOLICITUD VERBAL</t>
        </is>
      </c>
      <c r="G39" s="8" t="inlineStr">
        <is>
          <t>SI</t>
        </is>
      </c>
      <c r="H39" s="33">
        <f>Tabla224567891211101314151617[[#This Row],[FECHA]]</f>
        <v/>
      </c>
      <c r="I39" s="26" t="inlineStr">
        <is>
          <t>Se solicita la creacion de una mesa de ayuda en la pagina web creada, permitiendo que los demas empleados de la alcaldia puedan solicitar soporte a la oficina de sistemas de manera mas efectiva. Se presenta una version funcional ante el Solicitante, y este pide ademas de la solicitud que llegue a sistemas por medio de whatsapp tambien al usuario que solicito el soporte un seguimiento de esta solicitud por medio del correo</t>
        </is>
      </c>
    </row>
    <row r="40">
      <c r="A40" s="5" t="inlineStr">
        <is>
          <t>ACTIVIDADES: 1</t>
        </is>
      </c>
      <c r="B40" s="32" t="n"/>
      <c r="C40" s="21" t="n"/>
      <c r="D40" s="21" t="n"/>
      <c r="E40" s="21" t="n"/>
      <c r="F40" s="4" t="n"/>
      <c r="G40" s="8" t="n"/>
      <c r="H40" s="33" t="n"/>
      <c r="I40" s="21" t="n"/>
    </row>
    <row r="41" ht="139.5" customHeight="1">
      <c r="A41" s="26" t="inlineStr">
        <is>
          <t>Apoyar en las tareas logisticas realcionadas con la infraestructura tecnologica, tales como instalacion, traslado o reubicación de equipos de cómputo, dispositivos de red y demas componentes tecnologicos, bajo supervisión del personal del area</t>
        </is>
      </c>
      <c r="B41" s="31" t="n">
        <v>45974</v>
      </c>
      <c r="C41" s="26" t="inlineStr">
        <is>
          <t>PLANEACIÓN</t>
        </is>
      </c>
      <c r="D41" s="26" t="inlineStr">
        <is>
          <t>Santiago</t>
        </is>
      </c>
      <c r="E41" s="27" t="inlineStr">
        <is>
          <t>MANTENIMIENTO CORRECTIVO</t>
        </is>
      </c>
      <c r="F41" s="28" t="inlineStr">
        <is>
          <t>SOLICITUD VERBAL</t>
        </is>
      </c>
      <c r="G41" s="8">
        <f>G39</f>
        <v/>
      </c>
      <c r="H41" s="33">
        <f>Tabla224567891211101314151617[[#This Row],[FECHA]]</f>
        <v/>
      </c>
      <c r="I41" s="26" t="inlineStr">
        <is>
          <t>El solicitante pide revision debido a que el equipo no le estaba dando la conexion a internet, se revisa y se deja el equipo conectado a internet</t>
        </is>
      </c>
    </row>
    <row r="42" ht="142.5" customHeight="1">
      <c r="A42" s="26" t="inlineStr">
        <is>
          <t>Apoyar en las tareas logisticas realcionadas con la infraestructura tecnologica, tales como instalacion, traslado o reubicación de equipos de cómputo, dispositivos de red y demas componentes tecnologicos, bajo supervisión del personal del area</t>
        </is>
      </c>
      <c r="B42" s="31" t="n">
        <v>45975</v>
      </c>
      <c r="C42" s="26" t="inlineStr">
        <is>
          <t>PERSONERIA</t>
        </is>
      </c>
      <c r="D42" s="26" t="inlineStr">
        <is>
          <t>Abogado personeria</t>
        </is>
      </c>
      <c r="E42" s="27" t="inlineStr">
        <is>
          <t>APOYO TECNOLÓGICO</t>
        </is>
      </c>
      <c r="F42" s="28" t="inlineStr">
        <is>
          <t>SOLICITUD VERBAL</t>
        </is>
      </c>
      <c r="G42" s="8" t="inlineStr">
        <is>
          <t>SI</t>
        </is>
      </c>
      <c r="H42" s="33">
        <f>Tabla224567891211101314151617[[#This Row],[FECHA]]</f>
        <v/>
      </c>
      <c r="I42" s="26" t="inlineStr">
        <is>
          <t>El solicitante no le conectaba a la red compartida de Personeria, se cambia al Wi-fi de la propia personeria y se muestra al funcionaria que esta funcionando, se le muestra que era solo cambiar la red</t>
        </is>
      </c>
    </row>
    <row r="43" ht="142.5" customHeight="1">
      <c r="A43" s="26" t="inlineStr">
        <is>
          <t>Apoyar en las tareas logisticas realcionadas con la infraestructura tecnologica, tales como instalacion, traslado o reubicación de equipos de cómputo, dispositivos de red y demas componentes tecnologicos, bajo supervisión del personal del area</t>
        </is>
      </c>
      <c r="B43" s="31" t="n">
        <v>45980</v>
      </c>
      <c r="C43" s="26" t="inlineStr">
        <is>
          <t>CASA DE JUSTICIA</t>
        </is>
      </c>
      <c r="D43" s="26" t="inlineStr">
        <is>
          <t>Veronica</t>
        </is>
      </c>
      <c r="E43" s="27" t="inlineStr">
        <is>
          <t>MANTENIMIENTO CORRECTIVO</t>
        </is>
      </c>
      <c r="F43" s="28" t="inlineStr">
        <is>
          <t>SOLICITUD VERBAL</t>
        </is>
      </c>
      <c r="G43" s="8">
        <f>G41</f>
        <v/>
      </c>
      <c r="H43" s="33">
        <f>Tabla224567891211101314151617[[#This Row],[FECHA]]</f>
        <v/>
      </c>
      <c r="I43" s="26" t="inlineStr">
        <is>
          <t>La funcionaria solicta la revision con respecto a la conexion a la impresora, se hace la verificacion de donde se esta conectando el equipo, se realiza cambio en el puerto de conexion y se verifica que se pueda imprimir desde el equipo</t>
        </is>
      </c>
    </row>
    <row r="44" ht="141" customHeight="1">
      <c r="A44" s="26" t="inlineStr">
        <is>
          <t>Apoyar en las tareas logisticas realcionadas con la infraestructura tecnologica, tales como instalacion, traslado o reubicación de equipos de cómputo, dispositivos de red y demas componentes tecnologicos, bajo supervisión del personal del area</t>
        </is>
      </c>
      <c r="B44" s="31" t="n">
        <v>45981</v>
      </c>
      <c r="C44" s="26" t="inlineStr">
        <is>
          <t>PERSONERIA</t>
        </is>
      </c>
      <c r="D44" s="26" t="inlineStr">
        <is>
          <t>Sandra</t>
        </is>
      </c>
      <c r="E44" s="27" t="inlineStr">
        <is>
          <t>MANTENIMIENTO CORRECTIVO</t>
        </is>
      </c>
      <c r="F44" s="28" t="inlineStr">
        <is>
          <t>E-MAIL</t>
        </is>
      </c>
      <c r="G44" s="8">
        <f>G42</f>
        <v/>
      </c>
      <c r="H44" s="33">
        <f>Tabla224567891211101314151617[[#This Row],[FECHA]]</f>
        <v/>
      </c>
      <c r="I44" s="26" t="inlineStr">
        <is>
          <t>Se solicita la revision del telefono de la Personeria, se realiza la verificacion con el cable, con otro telefono y se realiza el reinicio del modem, se prueba y muestra a otra funcionaria el funcionamiento del telefono</t>
        </is>
      </c>
    </row>
    <row r="45">
      <c r="A45" s="5" t="inlineStr">
        <is>
          <t>ACTIVIDADES: 4</t>
        </is>
      </c>
      <c r="B45" s="32" t="n"/>
      <c r="C45" s="21" t="n"/>
      <c r="D45" s="21" t="n"/>
      <c r="E45" s="21" t="n"/>
      <c r="F45" s="4" t="n"/>
      <c r="G45" s="8" t="n"/>
      <c r="H45" s="33" t="n"/>
      <c r="I45" s="21" t="n"/>
    </row>
    <row r="46" ht="120" customHeight="1">
      <c r="A46" s="26" t="inlineStr">
        <is>
          <t>Realizar seguimiento de las solicitudes y requerimientos tecnologicos de los usuarios documentando novedades, avances y necesidades adicionales y comunicandolas oportunamente a los responsables correspondientes.</t>
        </is>
      </c>
      <c r="B46" s="34" t="n">
        <v>45960</v>
      </c>
      <c r="C46" s="26" t="inlineStr">
        <is>
          <t>CENTRO DÍA</t>
        </is>
      </c>
      <c r="D46" s="26" t="inlineStr">
        <is>
          <t>Jhon Galvis</t>
        </is>
      </c>
      <c r="E46" s="27" t="inlineStr">
        <is>
          <t>APOYO TECNOLÓGICO</t>
        </is>
      </c>
      <c r="F46" s="28" t="inlineStr">
        <is>
          <t>SOLICITUD VERBAL</t>
        </is>
      </c>
      <c r="G46" s="8">
        <f>G44</f>
        <v/>
      </c>
      <c r="H46" s="33">
        <f>Tabla224567891211101314151617[[#This Row],[FECHA]]</f>
        <v/>
      </c>
      <c r="I46" s="26" t="inlineStr">
        <is>
          <t>Se realiza la actualización de la ofimática del office 2013 al office 2016, mayor compatibilidad y recibimiento de los documentos</t>
        </is>
      </c>
    </row>
    <row r="47" ht="120" customHeight="1">
      <c r="A47" s="26" t="inlineStr">
        <is>
          <t>Realizar seguimiento de las solicitudes y requerimientos tecnologicos de los usuarios documentando novedades, avances y necesidades adicionales y comunicandolas oportunamente a los responsables correspondientes.</t>
        </is>
      </c>
      <c r="B47" s="34" t="n">
        <v>45961</v>
      </c>
      <c r="C47" s="26" t="inlineStr">
        <is>
          <t>CONTROL INTERNO</t>
        </is>
      </c>
      <c r="D47" s="26" t="inlineStr">
        <is>
          <t>Claudia Osses</t>
        </is>
      </c>
      <c r="E47" s="27" t="inlineStr">
        <is>
          <t>MANTENIMIENTO CORRECTIVO</t>
        </is>
      </c>
      <c r="F47" s="28" t="inlineStr">
        <is>
          <t>SOLICITUD VERBAL</t>
        </is>
      </c>
      <c r="G47" s="8">
        <f>G45</f>
        <v/>
      </c>
      <c r="H47" s="33">
        <f>Tabla224567891211101314151617[[#This Row],[FECHA]]</f>
        <v/>
      </c>
      <c r="I47" s="26" t="inlineStr">
        <is>
          <t>Se hace una correccion en la ofimatica puesto que estaba sacando porblemas y piediendo permisos de administrador para su funcionamiento</t>
        </is>
      </c>
    </row>
    <row r="48" ht="120" customHeight="1">
      <c r="A48" s="26" t="inlineStr">
        <is>
          <t>Realizar seguimiento de las solicitudes y requerimientos tecnologicos de los usuarios documentando novedades, avances y necesidades adicionales y comunicandolas oportunamente a los responsables correspondientes.</t>
        </is>
      </c>
      <c r="B48" s="34" t="n">
        <v>45966</v>
      </c>
      <c r="C48" s="26" t="inlineStr">
        <is>
          <t>Talleres</t>
        </is>
      </c>
      <c r="D48" s="26" t="inlineStr">
        <is>
          <t>Armando</t>
        </is>
      </c>
      <c r="E48" s="27" t="inlineStr">
        <is>
          <t>MANTENIMIENTO CORRECTIVO</t>
        </is>
      </c>
      <c r="F48" s="28" t="inlineStr">
        <is>
          <t>SOLICITUD VERBAL</t>
        </is>
      </c>
      <c r="G48" s="8">
        <f>G46</f>
        <v/>
      </c>
      <c r="H48" s="33">
        <f>Tabla224567891211101314151617[[#This Row],[FECHA]]</f>
        <v/>
      </c>
      <c r="I48" s="26" t="inlineStr">
        <is>
          <t>Se solicita verificar la conexion y funcionamiento de la impresora, ya que el equipo no realizaba la impresion, se verifica el controlador, las actualizaciones de la impresora y se deja funcionando</t>
        </is>
      </c>
    </row>
    <row r="49" ht="120" customHeight="1">
      <c r="A49" s="26" t="inlineStr">
        <is>
          <t>Realizar seguimiento de las solicitudes y requerimientos tecnologicos de los usuarios documentando novedades, avances y necesidades adicionales y comunicandolas oportunamente a los responsables correspondientes.</t>
        </is>
      </c>
      <c r="B49" s="34" t="n">
        <v>45965</v>
      </c>
      <c r="C49" s="26" t="inlineStr">
        <is>
          <t>PROTECCIÓN SOCIAL</t>
        </is>
      </c>
      <c r="D49" s="26" t="inlineStr">
        <is>
          <t>Marleny Alzate</t>
        </is>
      </c>
      <c r="E49" s="27" t="inlineStr">
        <is>
          <t>ASESORÍA Y ASISTENCIA</t>
        </is>
      </c>
      <c r="F49" s="28" t="inlineStr">
        <is>
          <t>LLAMADA TELEFÓNICA</t>
        </is>
      </c>
      <c r="G49" s="8">
        <f>G47</f>
        <v/>
      </c>
      <c r="H49" s="33">
        <f>Tabla224567891211101314151617[[#This Row],[FECHA]]</f>
        <v/>
      </c>
      <c r="I49" s="26" t="inlineStr">
        <is>
          <t>Se solicita la revision de la cola de impresion de la impresora de Protecion social, ya que no eliminaba el archivo enviado, se corrige y se verifica que quede funcionando</t>
        </is>
      </c>
    </row>
    <row r="50" ht="120" customHeight="1">
      <c r="A50" s="26" t="inlineStr">
        <is>
          <t>Realizar seguimiento de las solicitudes y requerimientos tecnologicos de los usuarios documentando novedades, avances y necesidades adicionales y comunicandolas oportunamente a los responsables correspondientes.</t>
        </is>
      </c>
      <c r="B50" s="34" t="n">
        <v>45973</v>
      </c>
      <c r="C50" s="26" t="inlineStr">
        <is>
          <t>CENTRO DÍA</t>
        </is>
      </c>
      <c r="D50" s="26" t="inlineStr">
        <is>
          <t>Camila</t>
        </is>
      </c>
      <c r="E50" s="27" t="inlineStr">
        <is>
          <t>MANTENIMIENTO CORRECTIVO</t>
        </is>
      </c>
      <c r="F50" s="28" t="inlineStr">
        <is>
          <t>LLAMADA TELEFÓNICA</t>
        </is>
      </c>
      <c r="G50" s="8">
        <f>G48</f>
        <v/>
      </c>
      <c r="H50" s="33">
        <f>Tabla224567891211101314151617[[#This Row],[FECHA]]</f>
        <v/>
      </c>
      <c r="I50" s="26" t="inlineStr">
        <is>
          <t>La solicitante llama para revisar la ofimatica del equipo de computo, este se revisa y se aplica la correccion requerida, se revisa que quede funcional</t>
        </is>
      </c>
    </row>
    <row r="51" ht="120" customHeight="1">
      <c r="A51" s="26" t="inlineStr">
        <is>
          <t>Realizar seguimiento de las solicitudes y requerimientos tecnologicos de los usuarios documentando novedades, avances y necesidades adicionales y comunicandolas oportunamente a los responsables correspondientes.</t>
        </is>
      </c>
      <c r="B51" s="34" t="n">
        <v>45975</v>
      </c>
      <c r="C51" s="26" t="inlineStr">
        <is>
          <t>PLANEACIÓN</t>
        </is>
      </c>
      <c r="D51" s="26" t="inlineStr">
        <is>
          <t>Santiago</t>
        </is>
      </c>
      <c r="E51" s="27" t="inlineStr">
        <is>
          <t>APOYO TECNOLÓGICO</t>
        </is>
      </c>
      <c r="F51" s="28" t="inlineStr">
        <is>
          <t>SOLICITUD VERBAL</t>
        </is>
      </c>
      <c r="G51" s="8">
        <f>G49</f>
        <v/>
      </c>
      <c r="H51" s="33">
        <f>Tabla224567891211101314151617[[#This Row],[FECHA]]</f>
        <v/>
      </c>
      <c r="I51" s="26" t="inlineStr">
        <is>
          <t>Debido a un problema de red, las conexiones de el servidor de saymir y demas se vieron interrumpidas, se hace una verificacion desde otra dependencia y vuale a estar funcional. Se muestra al funcionario que las conexiones quedan funcionando</t>
        </is>
      </c>
    </row>
    <row r="52" ht="120" customHeight="1">
      <c r="A52" s="26" t="inlineStr">
        <is>
          <t>Realizar seguimiento de las solicitudes y requerimientos tecnologicos de los usuarios documentando novedades, avances y necesidades adicionales y comunicandolas oportunamente a los responsables correspondientes.</t>
        </is>
      </c>
      <c r="B52" s="34" t="n">
        <v>45979</v>
      </c>
      <c r="C52" s="26" t="inlineStr">
        <is>
          <t>PROTECCIÓN SOCIAL</t>
        </is>
      </c>
      <c r="D52" s="26" t="inlineStr">
        <is>
          <t>Yeisson</t>
        </is>
      </c>
      <c r="E52" s="27" t="inlineStr">
        <is>
          <t>APOYO TECNOLÓGICO</t>
        </is>
      </c>
      <c r="F52" s="28" t="inlineStr">
        <is>
          <t>SOLICITUD VERBAL</t>
        </is>
      </c>
      <c r="G52" s="8" t="inlineStr">
        <is>
          <t>SI</t>
        </is>
      </c>
      <c r="H52" s="33">
        <f>Tabla224567891211101314151617[[#This Row],[FECHA]]</f>
        <v/>
      </c>
      <c r="I52" s="26" t="inlineStr">
        <is>
          <t>El funcionario solicita la actualizacion para la aplicacion de salud, permitiendo el correcto funcionamiento de la aplicacion</t>
        </is>
      </c>
    </row>
    <row r="53" ht="120" customHeight="1">
      <c r="A53" s="26" t="inlineStr">
        <is>
          <t>Realizar seguimiento de las solicitudes y requerimientos tecnologicos de los usuarios documentando novedades, avances y necesidades adicionales y comunicandolas oportunamente a los responsables correspondientes.</t>
        </is>
      </c>
      <c r="B53" s="34" t="n">
        <v>45979</v>
      </c>
      <c r="C53" s="26" t="inlineStr">
        <is>
          <t>Subsecretaria de Familia</t>
        </is>
      </c>
      <c r="D53" s="26" t="inlineStr">
        <is>
          <t>Sebastian</t>
        </is>
      </c>
      <c r="E53" s="27" t="inlineStr">
        <is>
          <t>MANTENIMIENTO CORRECTIVO</t>
        </is>
      </c>
      <c r="F53" s="28" t="inlineStr">
        <is>
          <t>SOLICITUD VERBAL</t>
        </is>
      </c>
      <c r="G53" s="8" t="inlineStr">
        <is>
          <t>SI</t>
        </is>
      </c>
      <c r="H53" s="33">
        <f>Tabla224567891211101314151617[[#This Row],[FECHA]]</f>
        <v/>
      </c>
      <c r="I53" s="26" t="inlineStr">
        <is>
          <t>El funcionario solicita una recarga de tinta, se le hace una recarga a todas la tintas y se le deja evidenciado la recarga de las titnas al funcionario</t>
        </is>
      </c>
    </row>
    <row r="54" ht="120" customHeight="1">
      <c r="A54" s="26" t="inlineStr">
        <is>
          <t>Realizar seguimiento de las solicitudes y requerimientos tecnologicos de los usuarios documentando novedades, avances y necesidades adicionales y comunicandolas oportunamente a los responsables correspondientes.</t>
        </is>
      </c>
      <c r="B54" s="34" t="n">
        <v>45980</v>
      </c>
      <c r="C54" s="26" t="inlineStr">
        <is>
          <t>ALCALDÍA</t>
        </is>
      </c>
      <c r="D54" s="26" t="inlineStr">
        <is>
          <t>Marleny</t>
        </is>
      </c>
      <c r="E54" s="27" t="inlineStr">
        <is>
          <t>MANTENIMIENTO CORRECTIVO</t>
        </is>
      </c>
      <c r="F54" s="28" t="inlineStr">
        <is>
          <t>SOLICITUD VERBAL</t>
        </is>
      </c>
      <c r="G54" s="8" t="inlineStr">
        <is>
          <t>SI</t>
        </is>
      </c>
      <c r="H54" s="33">
        <f>Tabla224567891211101314151617[[#This Row],[FECHA]]</f>
        <v/>
      </c>
      <c r="I54" s="26" t="inlineStr">
        <is>
          <t>Se realiza una verificacion en el funcionamiento de los respaldos del equipo de computo, y que su informacion sea respaldada</t>
        </is>
      </c>
    </row>
    <row r="55" ht="120" customHeight="1">
      <c r="A55" s="26" t="inlineStr">
        <is>
          <t>Realizar seguimiento de las solicitudes y requerimientos tecnologicos de los usuarios documentando novedades, avances y necesidades adicionales y comunicandolas oportunamente a los responsables correspondientes.</t>
        </is>
      </c>
      <c r="B55" s="34" t="n">
        <v>45980</v>
      </c>
      <c r="C55" s="26" t="inlineStr">
        <is>
          <t>CASA DE JUSTICIA</t>
        </is>
      </c>
      <c r="D55" s="26" t="inlineStr">
        <is>
          <t>Miriam</t>
        </is>
      </c>
      <c r="E55" s="27" t="inlineStr">
        <is>
          <t>MANTENIMIENTO CORRECTIVO</t>
        </is>
      </c>
      <c r="F55" s="28" t="inlineStr">
        <is>
          <t>SOLICITUD VERBAL</t>
        </is>
      </c>
      <c r="G55" s="8" t="inlineStr">
        <is>
          <t>SI</t>
        </is>
      </c>
      <c r="H55" s="33">
        <f>Tabla224567891211101314151617[[#This Row],[FECHA]]</f>
        <v/>
      </c>
      <c r="I55" s="26" t="inlineStr">
        <is>
          <t>La funcionaria solicta la revisoion de la carpeta de escaner de la impresora, se hace la debida configuracion, y se revisa que si le lleguen al equipo los escaners</t>
        </is>
      </c>
    </row>
    <row r="56" ht="120" customHeight="1">
      <c r="A56" s="26" t="inlineStr">
        <is>
          <t>Realizar seguimiento de las solicitudes y requerimientos tecnologicos de los usuarios documentando novedades, avances y necesidades adicionales y comunicandolas oportunamente a los responsables correspondientes.</t>
        </is>
      </c>
      <c r="B56" s="34" t="n">
        <v>45981</v>
      </c>
      <c r="C56" s="26" t="inlineStr">
        <is>
          <t>PERSONERIA</t>
        </is>
      </c>
      <c r="D56" s="26" t="inlineStr">
        <is>
          <t>Sandra</t>
        </is>
      </c>
      <c r="E56" s="27" t="inlineStr">
        <is>
          <t>MANTENIMIENTO CORRECTIVO</t>
        </is>
      </c>
      <c r="F56" s="28" t="inlineStr">
        <is>
          <t>SOLICITUD VERBAL</t>
        </is>
      </c>
      <c r="G56" s="8">
        <f>G45</f>
        <v/>
      </c>
      <c r="H56" s="33">
        <f>Tabla224567891211101314151617[[#This Row],[FECHA]]</f>
        <v/>
      </c>
      <c r="I56" s="26" t="inlineStr">
        <is>
          <t>Se solicita una revision con el escaner puesto que este sacaba dos rayas al escanear por ambas caras, se limpia el escaner, los dos vidrios y se muestra a otra funcionaria que se esta escaneando correctamente</t>
        </is>
      </c>
    </row>
    <row r="57" ht="120" customHeight="1">
      <c r="A57" s="26" t="inlineStr">
        <is>
          <t>Realizar seguimiento de las solicitudes y requerimientos tecnologicos de los usuarios documentando novedades, avances y necesidades adicionales y comunicandolas oportunamente a los responsables correspondientes.</t>
        </is>
      </c>
      <c r="B57" s="34" t="n">
        <v>45965</v>
      </c>
      <c r="C57" s="26" t="inlineStr">
        <is>
          <t>COMISARIA ZONA NORTE</t>
        </is>
      </c>
      <c r="D57" s="26" t="inlineStr">
        <is>
          <t>Miriam Abogada</t>
        </is>
      </c>
      <c r="E57" s="27" t="inlineStr">
        <is>
          <t>MANTENIMIENTO CORRECTIVO</t>
        </is>
      </c>
      <c r="F57" s="28" t="inlineStr">
        <is>
          <t>LLAMADA TELEFÓNICA</t>
        </is>
      </c>
      <c r="G57" s="8" t="inlineStr">
        <is>
          <t>SI</t>
        </is>
      </c>
      <c r="H57" s="35" t="n">
        <v>45932</v>
      </c>
      <c r="I57" s="26" t="inlineStr">
        <is>
          <t>Se solicita cambio de contraseña del correo institucional, se realiza el cambio y se verifica que quede el usuario ingresando al correo institucional</t>
        </is>
      </c>
    </row>
    <row r="58" ht="120" customHeight="1">
      <c r="A58" s="26" t="inlineStr">
        <is>
          <t>Realizar seguimiento de las solicitudes y requerimientos tecnologicos de los usuarios documentando novedades, avances y necesidades adicionales y comunicandolas oportunamente a los responsables correspondientes.</t>
        </is>
      </c>
      <c r="B58" s="34" t="n">
        <v>45965</v>
      </c>
      <c r="C58" s="26" t="inlineStr">
        <is>
          <t>COMISARIA ZONA NORTE</t>
        </is>
      </c>
      <c r="D58" s="26" t="inlineStr">
        <is>
          <t>Miriam Abogada</t>
        </is>
      </c>
      <c r="E58" s="27" t="inlineStr">
        <is>
          <t>MANTENIMIENTO CORRECTIVO</t>
        </is>
      </c>
      <c r="F58" s="28" t="inlineStr">
        <is>
          <t>LLAMADA TELEFÓNICA</t>
        </is>
      </c>
      <c r="G58" s="8" t="inlineStr">
        <is>
          <t>SI</t>
        </is>
      </c>
      <c r="H58" s="35" t="n">
        <v>45939</v>
      </c>
      <c r="I58" s="26" t="inlineStr">
        <is>
          <t>Al solicitante no le ingresaba al correo instucional, se verifica en el equipo de computo del solicitante que quede con la sesion inciada en el correo institucional</t>
        </is>
      </c>
    </row>
    <row r="59">
      <c r="A59" s="36" t="inlineStr">
        <is>
          <t>ACTIVIDADES: 13</t>
        </is>
      </c>
      <c r="B59" s="37" t="n"/>
      <c r="C59" s="21" t="n"/>
      <c r="D59" s="21" t="n"/>
      <c r="E59" s="21" t="n"/>
      <c r="F59" s="4" t="n"/>
      <c r="G59" s="8" t="n"/>
      <c r="H59" s="35" t="n"/>
      <c r="I59" s="21" t="n"/>
    </row>
    <row r="60">
      <c r="A60" s="81" t="inlineStr">
        <is>
          <t>TOTAL ACTIVIDADES: 46</t>
        </is>
      </c>
      <c r="B60" s="99" t="n"/>
      <c r="C60" s="7" t="n"/>
      <c r="D60" s="8" t="n"/>
      <c r="E60" s="8" t="n"/>
      <c r="F60" s="9" t="n"/>
      <c r="G60" s="9" t="n"/>
      <c r="H60" s="9" t="n"/>
      <c r="I60" s="9" t="n"/>
      <c r="J60" s="10" t="n"/>
    </row>
    <row r="61">
      <c r="A61" s="77" t="inlineStr">
        <is>
          <t xml:space="preserve">Fecha de informe:  </t>
        </is>
      </c>
      <c r="B61" s="83" t="inlineStr">
        <is>
          <t>Noviembre 2025</t>
        </is>
      </c>
      <c r="C61" s="98" t="n"/>
      <c r="D61" s="98" t="n"/>
      <c r="E61" s="98" t="n"/>
      <c r="F61" s="98" t="n"/>
      <c r="G61" s="98" t="n"/>
      <c r="H61" s="98" t="n"/>
      <c r="I61" s="98" t="n"/>
      <c r="J61" s="99" t="n"/>
    </row>
    <row r="62">
      <c r="A62" s="11" t="inlineStr">
        <is>
          <t xml:space="preserve">Elaborado por:     </t>
        </is>
      </c>
      <c r="B62" s="78" t="inlineStr">
        <is>
          <t>STEVEN ALEJANDRO RUIZ RENDON</t>
        </is>
      </c>
      <c r="C62" s="98" t="n"/>
      <c r="D62" s="98" t="n"/>
      <c r="E62" s="98" t="n"/>
      <c r="F62" s="98" t="n"/>
      <c r="G62" s="98" t="n"/>
      <c r="H62" s="98" t="n"/>
      <c r="I62" s="98" t="n"/>
      <c r="J62" s="99" t="n"/>
    </row>
    <row r="63" ht="16.5" customHeight="1">
      <c r="A63" s="22" t="inlineStr">
        <is>
          <t xml:space="preserve">                                                    Contratista</t>
        </is>
      </c>
      <c r="B63" s="77" t="n"/>
      <c r="C63" s="98" t="n"/>
      <c r="D63" s="98" t="n"/>
      <c r="E63" s="98" t="n"/>
      <c r="F63" s="98" t="n"/>
      <c r="G63" s="98" t="n"/>
      <c r="H63" s="98" t="n"/>
      <c r="I63" s="98" t="n"/>
      <c r="J63" s="99" t="n"/>
    </row>
    <row r="64">
      <c r="A64" s="11" t="inlineStr">
        <is>
          <t>Vo Bo:</t>
        </is>
      </c>
      <c r="B64" s="77" t="inlineStr">
        <is>
          <t>MARIO ALFONSO HENAO LOPEZ</t>
        </is>
      </c>
      <c r="C64" s="98" t="n"/>
      <c r="D64" s="98" t="n"/>
      <c r="E64" s="98" t="n"/>
      <c r="F64" s="98" t="n"/>
      <c r="G64" s="98" t="n"/>
      <c r="H64" s="98" t="n"/>
      <c r="I64" s="98" t="n"/>
      <c r="J64" s="99" t="n"/>
    </row>
    <row r="65" ht="18.75" customHeight="1">
      <c r="A65" s="76" t="inlineStr">
        <is>
          <t>Supervisor contrato</t>
        </is>
      </c>
      <c r="B65" s="84" t="n"/>
      <c r="C65" s="98" t="n"/>
      <c r="D65" s="98" t="n"/>
      <c r="E65" s="98" t="n"/>
      <c r="F65" s="98" t="n"/>
      <c r="G65" s="98" t="n"/>
      <c r="H65" s="98" t="n"/>
      <c r="I65" s="98" t="n"/>
      <c r="J65" s="99" t="n"/>
    </row>
    <row r="66">
      <c r="A66" s="40" t="n"/>
      <c r="B66" s="41" t="n"/>
      <c r="C66" s="40" t="n"/>
      <c r="D66" s="40" t="n"/>
      <c r="E66" s="40" t="n"/>
      <c r="F66" s="40" t="n"/>
      <c r="G66" s="40" t="n"/>
      <c r="H66" s="40" t="n"/>
      <c r="I66" s="40" t="n"/>
      <c r="J66" s="42" t="n"/>
    </row>
    <row r="67">
      <c r="A67" s="40" t="n"/>
      <c r="B67" s="41" t="n"/>
      <c r="C67" s="40" t="n"/>
      <c r="D67" s="40" t="n"/>
      <c r="E67" s="40" t="n"/>
      <c r="F67" s="40" t="n"/>
      <c r="G67" s="40" t="n"/>
      <c r="H67" s="40" t="n"/>
      <c r="I67" s="40" t="n"/>
      <c r="J67" s="39" t="n"/>
    </row>
    <row r="68">
      <c r="A68" s="40" t="n"/>
      <c r="B68" s="41" t="n"/>
      <c r="C68" s="40" t="n"/>
      <c r="D68" s="40" t="n"/>
      <c r="E68" s="40" t="n"/>
      <c r="F68" s="40" t="n"/>
      <c r="G68" s="40" t="n"/>
      <c r="H68" s="40" t="n"/>
      <c r="I68" s="40" t="n"/>
      <c r="J68" s="39" t="n"/>
    </row>
    <row r="69">
      <c r="A69" s="40" t="n"/>
      <c r="B69" s="41" t="n"/>
      <c r="C69" s="40" t="n"/>
      <c r="D69" s="40" t="n"/>
      <c r="E69" s="40" t="n"/>
      <c r="F69" s="40" t="n"/>
      <c r="G69" s="40" t="n"/>
      <c r="H69" s="40" t="n"/>
      <c r="I69" s="40" t="n"/>
      <c r="J69" s="39" t="n"/>
    </row>
    <row r="70">
      <c r="A70" s="40" t="n"/>
      <c r="B70" s="41" t="n"/>
      <c r="C70" s="40" t="n"/>
      <c r="D70" s="40" t="n"/>
      <c r="E70" s="40" t="n"/>
      <c r="F70" s="40" t="n"/>
      <c r="G70" s="40" t="n"/>
      <c r="H70" s="40" t="n"/>
      <c r="I70" s="40" t="n"/>
      <c r="J70" s="39" t="n"/>
    </row>
    <row r="71">
      <c r="A71" s="40" t="n"/>
      <c r="B71" s="41" t="n"/>
      <c r="C71" s="40" t="n"/>
      <c r="D71" s="40" t="n"/>
      <c r="E71" s="40" t="n"/>
      <c r="F71" s="40" t="n"/>
      <c r="G71" s="40" t="n"/>
      <c r="H71" s="40" t="n"/>
      <c r="I71" s="40" t="n"/>
      <c r="J71" s="39" t="n"/>
    </row>
    <row r="72">
      <c r="A72" s="40" t="n"/>
      <c r="B72" s="41" t="n"/>
      <c r="C72" s="40" t="n"/>
      <c r="D72" s="40" t="n"/>
      <c r="E72" s="40" t="n"/>
      <c r="F72" s="40" t="n"/>
      <c r="G72" s="40" t="n"/>
      <c r="H72" s="40" t="n"/>
      <c r="I72" s="40" t="n"/>
      <c r="J72" s="39" t="n"/>
    </row>
    <row r="73">
      <c r="A73" s="40" t="n"/>
      <c r="B73" s="41" t="n"/>
      <c r="C73" s="40" t="n"/>
      <c r="D73" s="40" t="n"/>
      <c r="E73" s="40" t="n"/>
      <c r="F73" s="40" t="n"/>
      <c r="G73" s="40" t="n"/>
      <c r="H73" s="40" t="n"/>
      <c r="I73" s="40" t="n"/>
      <c r="J73" s="39" t="n"/>
    </row>
    <row r="74">
      <c r="A74" s="40" t="n"/>
      <c r="B74" s="41" t="n"/>
      <c r="C74" s="40" t="n"/>
      <c r="D74" s="40" t="n"/>
      <c r="E74" s="40" t="n"/>
      <c r="F74" s="40" t="n"/>
      <c r="G74" s="40" t="n"/>
      <c r="H74" s="40" t="n"/>
      <c r="I74" s="40" t="n"/>
      <c r="J74" s="39" t="n"/>
    </row>
    <row r="75">
      <c r="A75" s="40" t="n"/>
      <c r="B75" s="41" t="n"/>
      <c r="C75" s="40" t="n"/>
      <c r="D75" s="40" t="n"/>
      <c r="E75" s="40" t="n"/>
      <c r="F75" s="40" t="n"/>
      <c r="G75" s="40" t="n"/>
      <c r="H75" s="40" t="n"/>
      <c r="I75" s="40" t="n"/>
      <c r="J75" s="39" t="n"/>
    </row>
    <row r="76">
      <c r="A76" s="40" t="n"/>
      <c r="B76" s="41" t="n"/>
      <c r="C76" s="40" t="n"/>
      <c r="D76" s="40" t="n"/>
      <c r="E76" s="40" t="n"/>
      <c r="F76" s="40" t="n"/>
      <c r="G76" s="40" t="n"/>
      <c r="H76" s="40" t="n"/>
      <c r="I76" s="40" t="n"/>
      <c r="J76" s="39" t="n"/>
    </row>
    <row r="77">
      <c r="A77" s="40" t="n"/>
      <c r="B77" s="41" t="n"/>
      <c r="C77" s="40" t="n"/>
      <c r="D77" s="40" t="n"/>
      <c r="E77" s="40" t="n"/>
      <c r="F77" s="40" t="n"/>
      <c r="G77" s="40" t="n"/>
      <c r="H77" s="40" t="n"/>
      <c r="I77" s="40" t="n"/>
      <c r="J77" s="39" t="n"/>
    </row>
    <row r="78">
      <c r="A78" s="40" t="n"/>
      <c r="B78" s="41" t="n"/>
      <c r="C78" s="40" t="n"/>
      <c r="D78" s="40" t="n"/>
      <c r="E78" s="40" t="n"/>
      <c r="F78" s="40" t="n"/>
      <c r="G78" s="40" t="n"/>
      <c r="H78" s="40" t="n"/>
      <c r="I78" s="40" t="n"/>
      <c r="J78" s="39" t="n"/>
    </row>
    <row r="79">
      <c r="A79" s="40" t="n"/>
      <c r="B79" s="41" t="n"/>
      <c r="C79" s="40" t="n"/>
      <c r="D79" s="40" t="n"/>
      <c r="E79" s="40" t="n"/>
      <c r="F79" s="40" t="n"/>
      <c r="G79" s="40" t="n"/>
      <c r="H79" s="40" t="n"/>
      <c r="I79" s="40" t="n"/>
      <c r="J79" s="39" t="n"/>
    </row>
    <row r="80">
      <c r="A80" s="40" t="n"/>
      <c r="B80" s="41" t="n"/>
      <c r="C80" s="40" t="n"/>
      <c r="D80" s="40" t="n"/>
      <c r="E80" s="40" t="n"/>
      <c r="F80" s="40" t="n"/>
      <c r="G80" s="40" t="n"/>
      <c r="H80" s="40" t="n"/>
      <c r="I80" s="40" t="n"/>
      <c r="J80" s="39" t="n"/>
    </row>
    <row r="81">
      <c r="A81" s="40" t="n"/>
      <c r="B81" s="41" t="n"/>
      <c r="C81" s="40" t="n"/>
      <c r="D81" s="40" t="n"/>
      <c r="E81" s="40" t="n"/>
      <c r="F81" s="40" t="n"/>
      <c r="G81" s="40" t="n"/>
      <c r="H81" s="40" t="n"/>
      <c r="I81" s="40" t="n"/>
      <c r="J81" s="39" t="n"/>
    </row>
    <row r="82">
      <c r="A82" s="40" t="n"/>
      <c r="B82" s="41" t="n"/>
      <c r="C82" s="40" t="n"/>
      <c r="D82" s="40" t="n"/>
      <c r="E82" s="40" t="n"/>
      <c r="F82" s="40" t="n"/>
      <c r="G82" s="40" t="n"/>
      <c r="H82" s="40" t="n"/>
      <c r="I82" s="40" t="n"/>
      <c r="J82" s="39" t="n"/>
    </row>
    <row r="83">
      <c r="A83" s="40" t="n"/>
      <c r="B83" s="41" t="n"/>
      <c r="C83" s="40" t="n"/>
      <c r="D83" s="40" t="n"/>
      <c r="E83" s="40" t="n"/>
      <c r="F83" s="40" t="n"/>
      <c r="G83" s="40" t="n"/>
      <c r="H83" s="40" t="n"/>
      <c r="I83" s="40" t="n"/>
      <c r="J83" s="39" t="n"/>
    </row>
    <row r="84">
      <c r="A84" s="40" t="n"/>
      <c r="B84" s="41" t="n"/>
      <c r="C84" s="40" t="n"/>
      <c r="D84" s="40" t="n"/>
      <c r="E84" s="40" t="n"/>
      <c r="F84" s="40" t="n"/>
      <c r="G84" s="40" t="n"/>
      <c r="H84" s="40" t="n"/>
      <c r="I84" s="40" t="n"/>
      <c r="J84" s="39" t="n"/>
    </row>
    <row r="85">
      <c r="A85" s="40" t="n"/>
      <c r="B85" s="41" t="n"/>
      <c r="C85" s="40" t="n"/>
      <c r="D85" s="40" t="n"/>
      <c r="E85" s="40" t="n"/>
      <c r="F85" s="40" t="n"/>
      <c r="G85" s="40" t="n"/>
      <c r="H85" s="40" t="n"/>
      <c r="I85" s="40" t="n"/>
      <c r="J85" s="39" t="n"/>
    </row>
    <row r="86">
      <c r="A86" s="40" t="n"/>
      <c r="B86" s="41" t="n"/>
      <c r="C86" s="40" t="n"/>
      <c r="D86" s="40" t="n"/>
      <c r="E86" s="40" t="n"/>
      <c r="F86" s="40" t="n"/>
      <c r="G86" s="40" t="n"/>
      <c r="H86" s="40" t="n"/>
      <c r="I86" s="40" t="n"/>
      <c r="J86" s="39" t="n"/>
    </row>
    <row r="87">
      <c r="A87" s="40" t="n"/>
      <c r="B87" s="41" t="n"/>
      <c r="C87" s="40" t="n"/>
      <c r="D87" s="40" t="n"/>
      <c r="E87" s="40" t="n"/>
      <c r="F87" s="40" t="n"/>
      <c r="G87" s="40" t="n"/>
      <c r="H87" s="40" t="n"/>
      <c r="I87" s="40" t="n"/>
      <c r="J87" s="39" t="n"/>
    </row>
    <row r="88">
      <c r="A88" s="40" t="n"/>
      <c r="B88" s="41" t="n"/>
      <c r="C88" s="40" t="n"/>
      <c r="D88" s="40" t="n"/>
      <c r="E88" s="40" t="n"/>
      <c r="F88" s="40" t="n"/>
      <c r="G88" s="40" t="n"/>
      <c r="H88" s="40" t="n"/>
      <c r="I88" s="40" t="n"/>
      <c r="J88" s="39" t="n"/>
    </row>
    <row r="89">
      <c r="A89" s="40" t="n"/>
      <c r="B89" s="41" t="n"/>
      <c r="C89" s="40" t="n"/>
      <c r="D89" s="40" t="n"/>
      <c r="E89" s="40" t="n"/>
      <c r="F89" s="40" t="n"/>
      <c r="G89" s="40" t="n"/>
      <c r="H89" s="40" t="n"/>
      <c r="I89" s="40" t="n"/>
      <c r="J89" s="39" t="n"/>
    </row>
    <row r="90">
      <c r="A90" s="40" t="n"/>
      <c r="B90" s="41" t="n"/>
      <c r="C90" s="40" t="n"/>
      <c r="D90" s="40" t="n"/>
      <c r="E90" s="40" t="n"/>
      <c r="F90" s="40" t="n"/>
      <c r="G90" s="40" t="n"/>
      <c r="H90" s="40" t="n"/>
      <c r="I90" s="40" t="n"/>
      <c r="J90" s="39" t="n"/>
    </row>
    <row r="91">
      <c r="A91" s="40" t="n"/>
      <c r="B91" s="41" t="n"/>
      <c r="C91" s="40" t="n"/>
      <c r="D91" s="40" t="n"/>
      <c r="E91" s="40" t="n"/>
      <c r="F91" s="40" t="n"/>
      <c r="G91" s="40" t="n"/>
      <c r="H91" s="40" t="n"/>
      <c r="I91" s="40" t="n"/>
      <c r="J91" s="39" t="n"/>
    </row>
    <row r="92">
      <c r="A92" s="40" t="n"/>
      <c r="B92" s="41" t="n"/>
      <c r="C92" s="40" t="n"/>
      <c r="D92" s="40" t="n"/>
      <c r="E92" s="40" t="n"/>
      <c r="F92" s="40" t="n"/>
      <c r="G92" s="40" t="n"/>
      <c r="H92" s="40" t="n"/>
      <c r="I92" s="40" t="n"/>
      <c r="J92" s="39" t="n"/>
    </row>
    <row r="93">
      <c r="A93" s="40" t="n"/>
      <c r="B93" s="41" t="n"/>
      <c r="C93" s="40" t="n"/>
      <c r="D93" s="40" t="n"/>
      <c r="E93" s="40" t="n"/>
      <c r="F93" s="40" t="n"/>
      <c r="G93" s="40" t="n"/>
      <c r="H93" s="40" t="n"/>
      <c r="I93" s="40" t="n"/>
      <c r="J93" s="39" t="n"/>
    </row>
  </sheetData>
  <mergeCells count="17">
    <mergeCell ref="A4:B4"/>
    <mergeCell ref="C4:J4"/>
    <mergeCell ref="A1:J1"/>
    <mergeCell ref="C3:J3"/>
    <mergeCell ref="A2:B2"/>
    <mergeCell ref="A60:B60"/>
    <mergeCell ref="B61:J61"/>
    <mergeCell ref="C6:J6"/>
    <mergeCell ref="A5:B5"/>
    <mergeCell ref="B63:J63"/>
    <mergeCell ref="C2:J2"/>
    <mergeCell ref="B65:J65"/>
    <mergeCell ref="C5:J5"/>
    <mergeCell ref="A3:B3"/>
    <mergeCell ref="A6:B6"/>
    <mergeCell ref="B62:J62"/>
    <mergeCell ref="B64:J64"/>
  </mergeCells>
  <pageMargins left="0.25" right="0.25" top="0.75" bottom="0.75" header="0.3" footer="0.3"/>
  <pageSetup orientation="landscape" scale="74" fitToHeight="0" horizontalDpi="0" verticalDpi="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9"/>
  <sheetViews>
    <sheetView topLeftCell="A10" workbookViewId="0">
      <selection activeCell="B16" sqref="B16:G16"/>
    </sheetView>
  </sheetViews>
  <sheetFormatPr baseColWidth="10" defaultRowHeight="15"/>
  <cols>
    <col width="28.140625" customWidth="1" style="20" min="1" max="1"/>
    <col width="9.28515625" customWidth="1" min="2" max="2"/>
    <col width="17.28515625" customWidth="1" min="4" max="4"/>
    <col width="4.5703125" customWidth="1" min="8" max="8"/>
    <col width="6.140625" customWidth="1" min="9" max="9"/>
    <col width="0.5703125" customWidth="1" min="10" max="10"/>
  </cols>
  <sheetData>
    <row r="1" ht="23.25" customHeight="1">
      <c r="A1" s="75" t="inlineStr">
        <is>
          <t>INFORME DE TAREAS POR CADA UNA DE LA ACTIVIDADES DEL CONTRATO DE PRESTACIÓN DE SERVICIOS</t>
        </is>
      </c>
      <c r="B1" s="98" t="n"/>
      <c r="C1" s="98" t="n"/>
      <c r="D1" s="98" t="n"/>
      <c r="E1" s="98" t="n"/>
      <c r="F1" s="98" t="n"/>
      <c r="G1" s="98" t="n"/>
      <c r="H1" s="98" t="n"/>
      <c r="I1" s="98" t="n"/>
      <c r="J1" s="99" t="n"/>
    </row>
    <row r="2" ht="25.5" customHeight="1">
      <c r="A2" s="75" t="inlineStr">
        <is>
          <t>No. CONVENIO O CONTRATO:</t>
        </is>
      </c>
      <c r="B2" s="99" t="n"/>
      <c r="C2" s="76" t="inlineStr">
        <is>
          <t>2025.10.05.06.073</t>
        </is>
      </c>
      <c r="D2" s="98" t="n"/>
      <c r="E2" s="98" t="n"/>
      <c r="F2" s="98" t="n"/>
      <c r="G2" s="98" t="n"/>
      <c r="H2" s="98" t="n"/>
      <c r="I2" s="98" t="n"/>
      <c r="J2" s="99" t="n"/>
    </row>
    <row r="3" ht="52.5" customHeight="1">
      <c r="A3" s="75" t="inlineStr">
        <is>
          <t>OBJETO DEL CONTRATO:</t>
        </is>
      </c>
      <c r="B3" s="99" t="n"/>
      <c r="C3" s="77" t="inlineStr">
        <is>
          <t>CONTRATO DE PRESTACIÓN DE SERVICIOS DE PROFESIONALES PARA FORTALECER LA OFICINA DE SISTEMAS Y OPTIMIZAR LA INFRAESTRUCTURA TECNOLÓGICA DE LA ADMINISTRACIÓN MUNICIPAL DE LA CEJA DEL TAMBO</t>
        </is>
      </c>
      <c r="D3" s="98" t="n"/>
      <c r="E3" s="98" t="n"/>
      <c r="F3" s="98" t="n"/>
      <c r="G3" s="98" t="n"/>
      <c r="H3" s="98" t="n"/>
      <c r="I3" s="98" t="n"/>
      <c r="J3" s="99" t="n"/>
    </row>
    <row r="4" ht="23.25" customHeight="1">
      <c r="A4" s="75" t="inlineStr">
        <is>
          <t>NOMBRE DEL CONTRATISTA:</t>
        </is>
      </c>
      <c r="B4" s="99" t="n"/>
      <c r="C4" s="76" t="inlineStr">
        <is>
          <t>JOHNATAN FELIPE MALDONADO CARDONA</t>
        </is>
      </c>
      <c r="D4" s="98" t="n"/>
      <c r="E4" s="98" t="n"/>
      <c r="F4" s="98" t="n"/>
      <c r="G4" s="98" t="n"/>
      <c r="H4" s="98" t="n"/>
      <c r="I4" s="98" t="n"/>
      <c r="J4" s="99" t="n"/>
    </row>
    <row r="5" ht="21" customHeight="1">
      <c r="A5" s="95" t="inlineStr">
        <is>
          <t>No DE IDENTIFICACIÓN:</t>
        </is>
      </c>
      <c r="B5" s="99" t="n"/>
      <c r="C5" s="80" t="n">
        <v>1040040179</v>
      </c>
      <c r="D5" s="98" t="n"/>
      <c r="E5" s="98" t="n"/>
      <c r="F5" s="98" t="n"/>
      <c r="G5" s="98" t="n"/>
      <c r="H5" s="98" t="n"/>
      <c r="I5" s="98" t="n"/>
      <c r="J5" s="99" t="n"/>
    </row>
    <row r="6" ht="33" customHeight="1">
      <c r="A6" s="75" t="inlineStr">
        <is>
          <t>FECHA DE ACTIVIDADES:</t>
        </is>
      </c>
      <c r="B6" s="99" t="n"/>
      <c r="C6" s="76" t="inlineStr">
        <is>
          <t>21 de Enero de 2025  al 15 de Octubre de 2025</t>
        </is>
      </c>
      <c r="D6" s="98" t="n"/>
      <c r="E6" s="98" t="n"/>
      <c r="F6" s="98" t="n"/>
      <c r="G6" s="98" t="n"/>
      <c r="H6" s="98" t="n"/>
      <c r="I6" s="98" t="n"/>
      <c r="J6" s="99" t="n"/>
    </row>
    <row r="7" ht="18.75" customHeight="1">
      <c r="A7" s="86" t="inlineStr">
        <is>
          <t>TIPO DE ACTIVIDA</t>
        </is>
      </c>
      <c r="B7" s="98" t="n"/>
      <c r="C7" s="98" t="n"/>
      <c r="D7" s="98" t="n"/>
      <c r="E7" s="99" t="n"/>
      <c r="F7" s="97" t="inlineStr">
        <is>
          <t>CANTIDAD</t>
        </is>
      </c>
      <c r="G7" s="98" t="n"/>
      <c r="H7" s="98" t="n"/>
      <c r="I7" s="98" t="n"/>
      <c r="J7" s="99" t="n"/>
    </row>
    <row r="8" ht="18.75" customHeight="1">
      <c r="A8" s="86" t="inlineStr">
        <is>
          <t xml:space="preserve">Brindar apoyo y acompañamiento técnico a los diferentes servidores públicos, contratistas y dependencias, en temas relacionados con tecnología para que éstos puedan adelantar en debida manera sus labores y cumplir así con los objetivos del plan de desarrollo. </t>
        </is>
      </c>
      <c r="B8" s="98" t="n"/>
      <c r="C8" s="98" t="n"/>
      <c r="D8" s="98" t="n"/>
      <c r="E8" s="99" t="n"/>
      <c r="F8" s="87" t="n">
        <v>185</v>
      </c>
      <c r="G8" s="98" t="n"/>
      <c r="H8" s="98" t="n"/>
      <c r="I8" s="98" t="n"/>
      <c r="J8" s="99" t="n"/>
    </row>
    <row r="9" ht="18.75" customHeight="1">
      <c r="A9" s="86" t="inlineStr">
        <is>
          <t>Coadyuvar con las actividades del proceso del Sistema de Gestión de Calidad.</t>
        </is>
      </c>
      <c r="B9" s="98" t="n"/>
      <c r="C9" s="98" t="n"/>
      <c r="D9" s="98" t="n"/>
      <c r="E9" s="99" t="n"/>
      <c r="F9" s="87" t="n">
        <v>60</v>
      </c>
      <c r="G9" s="98" t="n"/>
      <c r="H9" s="98" t="n"/>
      <c r="I9" s="98" t="n"/>
      <c r="J9" s="99" t="n"/>
    </row>
    <row r="10" ht="18.75" customHeight="1">
      <c r="A10" s="86" t="inlineStr">
        <is>
          <t>Las demás que correspondan y sean inherentes al objeto del contrato y le sean asignadas por el supervisor de la ejecución del contrato.</t>
        </is>
      </c>
      <c r="B10" s="98" t="n"/>
      <c r="C10" s="98" t="n"/>
      <c r="D10" s="98" t="n"/>
      <c r="E10" s="99" t="n"/>
      <c r="F10" s="87" t="n">
        <v>48</v>
      </c>
      <c r="G10" s="98" t="n"/>
      <c r="H10" s="98" t="n"/>
      <c r="I10" s="98" t="n"/>
      <c r="J10" s="99" t="n"/>
    </row>
    <row r="11" ht="18.75" customHeight="1">
      <c r="A11" s="86" t="inlineStr">
        <is>
          <t>Realizar apoyo técnico en la intervención y correcto funcionamiento de la red.</t>
        </is>
      </c>
      <c r="B11" s="98" t="n"/>
      <c r="C11" s="98" t="n"/>
      <c r="D11" s="98" t="n"/>
      <c r="E11" s="99" t="n"/>
      <c r="F11" s="87" t="n">
        <v>39</v>
      </c>
      <c r="G11" s="98" t="n"/>
      <c r="H11" s="98" t="n"/>
      <c r="I11" s="98" t="n"/>
      <c r="J11" s="99" t="n"/>
    </row>
    <row r="12" ht="18.75" customHeight="1">
      <c r="A12" s="86" t="inlineStr">
        <is>
          <t>Verificar el correcto funcionamiento del hardware y software de los equipos de la Administración Municipal con el propósito de que los trámites a realizar se efectúen con más eficiencia en beneficio de la comunidad en general.</t>
        </is>
      </c>
      <c r="B12" s="98" t="n"/>
      <c r="C12" s="98" t="n"/>
      <c r="D12" s="98" t="n"/>
      <c r="E12" s="99" t="n"/>
      <c r="F12" s="87" t="n">
        <v>88</v>
      </c>
      <c r="G12" s="98" t="n"/>
      <c r="H12" s="98" t="n"/>
      <c r="I12" s="98" t="n"/>
      <c r="J12" s="99" t="n"/>
    </row>
    <row r="13" ht="18.75" customHeight="1">
      <c r="A13" s="86" t="inlineStr">
        <is>
          <t>TOTAL ACTIVIDADES</t>
        </is>
      </c>
      <c r="B13" s="98" t="n"/>
      <c r="C13" s="98" t="n"/>
      <c r="D13" s="98" t="n"/>
      <c r="E13" s="99" t="n"/>
      <c r="F13" s="87">
        <f>SUM(F8:G12)</f>
        <v/>
      </c>
      <c r="G13" s="98" t="n"/>
      <c r="H13" s="98" t="n"/>
      <c r="I13" s="98" t="n"/>
      <c r="J13" s="99" t="n"/>
    </row>
    <row r="14">
      <c r="A14" s="88" t="n"/>
      <c r="B14" s="98" t="n"/>
      <c r="C14" s="98" t="n"/>
      <c r="D14" s="98" t="n"/>
      <c r="E14" s="98" t="n"/>
      <c r="F14" s="98" t="n"/>
      <c r="G14" s="99" t="n"/>
      <c r="H14" s="12" t="n"/>
      <c r="I14" s="12" t="n"/>
      <c r="J14" s="12" t="n"/>
    </row>
    <row r="15">
      <c r="A15" s="13" t="inlineStr">
        <is>
          <t xml:space="preserve">Fecha de informe:  </t>
        </is>
      </c>
      <c r="B15" s="89" t="inlineStr">
        <is>
          <t>15 Octubre 2025</t>
        </is>
      </c>
      <c r="C15" s="98" t="n"/>
      <c r="D15" s="98" t="n"/>
      <c r="E15" s="98" t="n"/>
      <c r="F15" s="98" t="n"/>
      <c r="G15" s="99" t="n"/>
      <c r="H15" s="14" t="n"/>
      <c r="I15" s="14" t="n"/>
      <c r="J15" s="14" t="n"/>
    </row>
    <row r="16">
      <c r="A16" s="84" t="inlineStr">
        <is>
          <t xml:space="preserve">Elaborado por:     </t>
        </is>
      </c>
      <c r="B16" s="90" t="inlineStr">
        <is>
          <t>JOHNATAN FELIPE MALDONADO CARDONA</t>
        </is>
      </c>
      <c r="C16" s="98" t="n"/>
      <c r="D16" s="98" t="n"/>
      <c r="E16" s="98" t="n"/>
      <c r="F16" s="98" t="n"/>
      <c r="G16" s="99" t="n"/>
      <c r="H16" s="15" t="n"/>
      <c r="I16" s="15" t="n"/>
      <c r="J16" s="15" t="n"/>
    </row>
    <row r="17" ht="26.25" customHeight="1">
      <c r="A17" s="16" t="inlineStr">
        <is>
          <t xml:space="preserve">                                                    Contratista</t>
        </is>
      </c>
      <c r="B17" s="102" t="n"/>
      <c r="C17" s="98" t="n"/>
      <c r="D17" s="98" t="n"/>
      <c r="E17" s="98" t="n"/>
      <c r="F17" s="98" t="n"/>
      <c r="G17" s="99" t="n"/>
      <c r="H17" s="17" t="n"/>
      <c r="I17" s="17" t="n"/>
      <c r="J17" s="17" t="n"/>
    </row>
    <row r="18">
      <c r="A18" s="84" t="inlineStr">
        <is>
          <t>Vo Bo:</t>
        </is>
      </c>
      <c r="B18" s="94" t="inlineStr">
        <is>
          <t>Mario Alfonso Henao Lopez</t>
        </is>
      </c>
      <c r="C18" s="98" t="n"/>
      <c r="D18" s="98" t="n"/>
      <c r="E18" s="98" t="n"/>
      <c r="F18" s="99" t="n"/>
      <c r="G18" s="18" t="n"/>
      <c r="H18" s="18" t="n"/>
      <c r="I18" s="18" t="n"/>
      <c r="J18" s="18" t="n"/>
    </row>
    <row r="19" ht="25.5" customHeight="1">
      <c r="A19" s="13" t="inlineStr">
        <is>
          <t xml:space="preserve">                                                  Supervisor contrato</t>
        </is>
      </c>
      <c r="B19" s="85" t="n"/>
      <c r="C19" s="98" t="n"/>
      <c r="D19" s="98" t="n"/>
      <c r="E19" s="98" t="n"/>
      <c r="F19" s="98" t="n"/>
      <c r="G19" s="99" t="n"/>
      <c r="H19" s="19" t="n"/>
      <c r="I19" s="19" t="n"/>
      <c r="J19" s="19" t="n"/>
    </row>
  </sheetData>
  <mergeCells count="31">
    <mergeCell ref="C3:J3"/>
    <mergeCell ref="A14:G14"/>
    <mergeCell ref="F11:J11"/>
    <mergeCell ref="C6:J6"/>
    <mergeCell ref="F10:J10"/>
    <mergeCell ref="B17:G17"/>
    <mergeCell ref="A11:E11"/>
    <mergeCell ref="C5:J5"/>
    <mergeCell ref="B18:F18"/>
    <mergeCell ref="A6:B6"/>
    <mergeCell ref="C4:J4"/>
    <mergeCell ref="B19:G19"/>
    <mergeCell ref="F7:J7"/>
    <mergeCell ref="F12:J12"/>
    <mergeCell ref="A7:E7"/>
    <mergeCell ref="A3:B3"/>
    <mergeCell ref="F8:J8"/>
    <mergeCell ref="B15:G15"/>
    <mergeCell ref="A1:J1"/>
    <mergeCell ref="A12:E12"/>
    <mergeCell ref="A2:B2"/>
    <mergeCell ref="C2:J2"/>
    <mergeCell ref="A5:B5"/>
    <mergeCell ref="A8:E8"/>
    <mergeCell ref="F13:J13"/>
    <mergeCell ref="A4:B4"/>
    <mergeCell ref="F9:J9"/>
    <mergeCell ref="B16:G16"/>
    <mergeCell ref="A10:E10"/>
    <mergeCell ref="A13:E13"/>
    <mergeCell ref="A9:E9"/>
  </mergeCells>
  <pageMargins left="0.7" right="0.7" top="0.75" bottom="0.75" header="0.3" footer="0.3"/>
  <pageSetup orientation="landscape"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Juan Bernardo Cardona Florez</dc:creator>
  <dcterms:created xsi:type="dcterms:W3CDTF">2023-02-08T22:02:29Z</dcterms:created>
  <dcterms:modified xsi:type="dcterms:W3CDTF">2026-02-12T16:04:00Z</dcterms:modified>
  <cp:lastModifiedBy>Apoyo sistemas</cp:lastModifiedBy>
  <cp:lastPrinted>2026-02-02T14:44:54Z</cp:lastPrinted>
</cp:coreProperties>
</file>