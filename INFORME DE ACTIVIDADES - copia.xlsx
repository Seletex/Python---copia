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poyosistemas\Documents\2026\01 Primera cuenta\"/>
    </mc:Choice>
  </mc:AlternateContent>
  <bookViews>
    <workbookView xWindow="-120" yWindow="-120" windowWidth="20730" windowHeight="11160"/>
  </bookViews>
  <sheets>
    <sheet name="Informe Febrero 26" sheetId="23" r:id="rId1"/>
    <sheet name="Informe Octubre 25" sheetId="21" r:id="rId2"/>
    <sheet name="Resumido 25" sheetId="22" r:id="rId3"/>
  </sheets>
  <calcPr calcId="162913"/>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66" i="23" l="1"/>
  <c r="H53" i="21" l="1"/>
  <c r="H54" i="21"/>
  <c r="H55" i="21"/>
  <c r="H46" i="21"/>
  <c r="H47" i="21"/>
  <c r="H48" i="21"/>
  <c r="H49" i="21"/>
  <c r="H50" i="21"/>
  <c r="H51" i="21"/>
  <c r="G47" i="21"/>
  <c r="G49" i="21" s="1"/>
  <c r="G51" i="21" s="1"/>
  <c r="G44" i="21"/>
  <c r="G46" i="21" s="1"/>
  <c r="G48" i="21" s="1"/>
  <c r="G50" i="21" s="1"/>
  <c r="G41" i="21"/>
  <c r="G43" i="21" s="1"/>
  <c r="G56" i="21" s="1"/>
  <c r="H41" i="21"/>
  <c r="H42" i="21"/>
  <c r="H43" i="21"/>
  <c r="H44" i="21"/>
  <c r="H52" i="21"/>
  <c r="H56" i="21"/>
  <c r="H39" i="21"/>
  <c r="F13" i="22" l="1"/>
</calcChain>
</file>

<file path=xl/sharedStrings.xml><?xml version="1.0" encoding="utf-8"?>
<sst xmlns="http://schemas.openxmlformats.org/spreadsheetml/2006/main" count="878" uniqueCount="273">
  <si>
    <t>FECHA</t>
  </si>
  <si>
    <t>DEPENDENCIA</t>
  </si>
  <si>
    <t>SOLICITANTE</t>
  </si>
  <si>
    <t>TIPO DE SOLICITUD</t>
  </si>
  <si>
    <t>MEDIO DE SOLICITUD</t>
  </si>
  <si>
    <t>TIPO DE ACTIVIDAD</t>
  </si>
  <si>
    <t>CUMPLIDO</t>
  </si>
  <si>
    <t>FECHA ATENCIÓN</t>
  </si>
  <si>
    <t>OBSERVACIONES</t>
  </si>
  <si>
    <t>INFORME DE TAREAS POR CADA UNA DE LA ACTIVIDADES DEL CONTRATO DE PRESTACIÓN DE SERVICIOS</t>
  </si>
  <si>
    <t>No. CONVENIO O CONTRATO:</t>
  </si>
  <si>
    <t>OBJETO DEL CONTRATO:</t>
  </si>
  <si>
    <t>NOMBRE DEL CONTRATISTA:</t>
  </si>
  <si>
    <t>No DE IDENTIFICACIÓN:</t>
  </si>
  <si>
    <t>FECHA DE ACTIVIDADES:</t>
  </si>
  <si>
    <t xml:space="preserve">Fecha de informe:  </t>
  </si>
  <si>
    <t xml:space="preserve">Elaborado por:     </t>
  </si>
  <si>
    <t xml:space="preserve">                                                    Contratista</t>
  </si>
  <si>
    <t>Vo Bo:</t>
  </si>
  <si>
    <t>Mario Alfonso Henao Lopez</t>
  </si>
  <si>
    <t xml:space="preserve">                                                  Supervisor contrato</t>
  </si>
  <si>
    <t>JOHNATAN FELIPE MALDONADO CARDONA</t>
  </si>
  <si>
    <t>PLANEACIÓN</t>
  </si>
  <si>
    <t>MANTENIMIENTO PREVENTIVO</t>
  </si>
  <si>
    <t>SOLICITUD VERBAL</t>
  </si>
  <si>
    <t>SI</t>
  </si>
  <si>
    <t>MANTENIMIENTO CORRECTIVO</t>
  </si>
  <si>
    <t>LLAMADA TELEFÓNICA</t>
  </si>
  <si>
    <t>DEPARTAMENTO GENERAL</t>
  </si>
  <si>
    <t>PROTECCIÓN SOCIAL</t>
  </si>
  <si>
    <t>OFICINA DE SISTEMAS</t>
  </si>
  <si>
    <t>Coadyuvar con las actividades del proceso del Sistema de Gestión de Calidad.</t>
  </si>
  <si>
    <t>DESARROLLO ECONÓMICO</t>
  </si>
  <si>
    <t>CASA DE JUSTICIA</t>
  </si>
  <si>
    <t>APOYO TECNOLÓGICO</t>
  </si>
  <si>
    <t>Realizar apoyo técnico en la intervención y correcto funcionamiento de la red.</t>
  </si>
  <si>
    <t>ASESORÍA Y ASISTENCIA</t>
  </si>
  <si>
    <t>CONTROL INTERNO</t>
  </si>
  <si>
    <t>Las demás que correspondan y sean inherentes al objeto del contrato y le sean asignadas por el supervisor de la ejecución del contrato.</t>
  </si>
  <si>
    <t>ALMACÉN MUNICIPAL</t>
  </si>
  <si>
    <t>Camila</t>
  </si>
  <si>
    <t>CENTRO DÍA</t>
  </si>
  <si>
    <t>Sebastian</t>
  </si>
  <si>
    <t>GESTIÓN HUMANA</t>
  </si>
  <si>
    <t>HACIENDA</t>
  </si>
  <si>
    <t>Felipe</t>
  </si>
  <si>
    <t>Elizabeth</t>
  </si>
  <si>
    <t>ALCALDÍA</t>
  </si>
  <si>
    <t>Marleny</t>
  </si>
  <si>
    <t>Santiago</t>
  </si>
  <si>
    <t>Margarita</t>
  </si>
  <si>
    <t>Lina</t>
  </si>
  <si>
    <t>TIPO DE ACTIVIDA</t>
  </si>
  <si>
    <t>CANTIDAD</t>
  </si>
  <si>
    <t>TOTAL ACTIVIDADES</t>
  </si>
  <si>
    <t>2025.10.05.06.073</t>
  </si>
  <si>
    <t>CONTRATO DE PRESTACIÓN DE SERVICIOS DE PROFESIONALES PARA FORTALECER LA OFICINA DE SISTEMAS Y OPTIMIZAR LA INFRAESTRUCTURA TECNOLÓGICA DE LA ADMINISTRACIÓN MUNICIPAL DE LA CEJA DEL TAMBO</t>
  </si>
  <si>
    <t xml:space="preserve">Brindar apoyo y acompañamiento técnico a los diferentes servidores públicos, contratistas y dependencias, en temas relacionados con tecnología para que éstos puedan adelantar en debida manera sus labores y cumplir así con los objetivos del plan de desarrollo. </t>
  </si>
  <si>
    <t>Verificar el correcto funcionamiento del hardware y software de los equipos de la Administración Municipal con el propósito de que los trámites a realizar se efectúen con más eficiencia en beneficio de la comunidad en general.</t>
  </si>
  <si>
    <t>Carolina</t>
  </si>
  <si>
    <t>CATASTRO</t>
  </si>
  <si>
    <t>Estefania</t>
  </si>
  <si>
    <t>Sara</t>
  </si>
  <si>
    <t>Lorena</t>
  </si>
  <si>
    <t>Sandra</t>
  </si>
  <si>
    <t>Marleny Alzate</t>
  </si>
  <si>
    <t>Maria Rosmira</t>
  </si>
  <si>
    <t>Luis Alejandro</t>
  </si>
  <si>
    <t>Liliana</t>
  </si>
  <si>
    <t>PERSONERIA</t>
  </si>
  <si>
    <t>E-MAIL</t>
  </si>
  <si>
    <t>Maria Alejandra</t>
  </si>
  <si>
    <t>Yolanda</t>
  </si>
  <si>
    <t>21 de Enero de 2025  al 15 de Octubre de 2025</t>
  </si>
  <si>
    <t>15 Octubre 2025</t>
  </si>
  <si>
    <t>CONTRATO DE PRESTACIÓN DE SERVICIOS DE APOYO A LA GESTION PARA LA ASISTENCIA TECNICAEN TODA LA INFRAESTRUCTURA TECNOLÓGICA DE LA ADMINISTRACIÓN MUNICIPAL DE LA CEJA DEL TAMBO</t>
  </si>
  <si>
    <t>STEVEN ALEJANDRO RUIZ RENDON</t>
  </si>
  <si>
    <t>2025.10.05.06.586</t>
  </si>
  <si>
    <t>1,036,964,737</t>
  </si>
  <si>
    <t xml:space="preserve"> 14-nov-2025</t>
  </si>
  <si>
    <t>Familia</t>
  </si>
  <si>
    <t>Subsecretaria de Familia</t>
  </si>
  <si>
    <t>Jhon Galvis</t>
  </si>
  <si>
    <t>Talleres</t>
  </si>
  <si>
    <t>Armando</t>
  </si>
  <si>
    <t>Subsecretaria de familia</t>
  </si>
  <si>
    <t>Mario Henao</t>
  </si>
  <si>
    <t>Abogada personeria</t>
  </si>
  <si>
    <t>Jeison</t>
  </si>
  <si>
    <t>Yeisson</t>
  </si>
  <si>
    <t>En Familia solicitan revisar la impresora que no imprime, se revisa la impresora y se debe cambiar el toner. Se cambia el toner y queda funcionando</t>
  </si>
  <si>
    <t>Se realiza el cambio del carto¿ucho de toner negro, y se aegura de que este quede funcionando correctamente</t>
  </si>
  <si>
    <t>Se solicita la creacion de un nuevo para un tecnico, que utilizara el equipo, se deja la informacion que el solicitante considero pertienente y necesaria</t>
  </si>
  <si>
    <t xml:space="preserve">Se realiza el destasco del papel en la impresora, pertiendo asi su correcto funcionamiento </t>
  </si>
  <si>
    <t>Se solicita mantenimiento a la impresora Epson L575, debeido a que al imprimir la tinta negra no se aplicaba, se realiza limpieza de cabezales y una prueba de limpieza</t>
  </si>
  <si>
    <t>Se hace un reposición de la tinta de la impresora L575, especialmente la tinta negra</t>
  </si>
  <si>
    <t xml:space="preserve">Se recarga la tinta de la impresora, llenadolas y dejando que la impresora verifique los niveles de tinta </t>
  </si>
  <si>
    <t>El solicitante solicita una revision ya que no le aparece el solicitante en el que el usuario trabaja, se hace la revision de que paso y se le enseño al solicitante como ingresa a su usario en caso de que alguien lo cambie</t>
  </si>
  <si>
    <t>Se solicita verificar junto con el asisitente tecnico las pregunta del plan de accion</t>
  </si>
  <si>
    <t>El solicitante pide el cambio de la contraseña del usuario con el que ingresa al computador, ya que este, ni siqueira le dejaba cambiarla la que tenia, se verifica que el usuario quede ingresando al equipo</t>
  </si>
  <si>
    <t>Debido a que la URL que enviaron estaba por recortada, el antivirus lo detecto como malware, se desisntala el antivirus miestras dura la capacitación</t>
  </si>
  <si>
    <t>En pos de mantener la seguridad en los equipos de computo de la alcaldia, se reinstala el antivirus, en el equipo de computo</t>
  </si>
  <si>
    <t>Debido a la confucion con otra dependencia que modifico algunos archivos del funcionaria, se perdio la informacion, el funcionario pide la restauracion de la informacion, y se le deja al funcionario la ultima version que el funcionario modifico</t>
  </si>
  <si>
    <t>La solicitante pide el scaner para un computador portatil, se instalan los controladores, se prueba y se muestra el funcionamiento del scnaer en el equipo</t>
  </si>
  <si>
    <t>La solicitante pide que se le ponga el programa para manejar los pdfs como Adobe Acrobat, se cambia el programa y se le deja mustra a la solicitante</t>
  </si>
  <si>
    <t>Se solicita cambiar una impresora al puesto de la solicitante, se mueve la impresora y se deja funcioando, mostrandole que la impresora queda funcionando</t>
  </si>
  <si>
    <t>La solicitante pide ayuda con respecto a al toner de la impresora de las secretarias de comisaria, se le muestra el informe de como va la tinta y que solicite un nuevo toner</t>
  </si>
  <si>
    <t>Se solicita recarga de tinta de un epson, se recarga la tinta y se le muestra que se realizo la recarga de la tinta continua</t>
  </si>
  <si>
    <t>En haras del uso por parte de la gobernacion donde solicitan que el funcionario debe de tener la aplicacion anydesk</t>
  </si>
  <si>
    <t>El funcionario solicita para la revision en el software de salud, puesto que para lo que necesitaba esta pidiendo una revision que se logra quitando el programa y volviendo a instalar el programa</t>
  </si>
  <si>
    <t>Permisos para el uso de la aplicacion anydesk para el uso de una reunion, permitiendo asi realzar las funciones correspondientes</t>
  </si>
  <si>
    <t>El aplicactivo de uso y gestion de los archivos .pdf no se mostraban correctamente la informacion a imprimir, se re-instala la aplicacion requerida y se deja en evidencia que la aplicacion queda funcionando</t>
  </si>
  <si>
    <t>La funcionaria solicta el apoyo en la instalacion de un toner en la impresora de comisaria, se instala el toner y se deja evidenciado el funcionamiento correto de la impresora con el nuevo toner</t>
  </si>
  <si>
    <t>La funcionaria solicita la revision con la impresora, y se deja evidenciado la conexion con la impresora, ademas, la funcionaria solicita el cambio de contraseña del equipo y se le deja evidenciado el cambio de contraseña</t>
  </si>
  <si>
    <t>La funcionaria solicta para la grabacion de una reunion, se le deja evidenciado el funcionamiento de la grabacion</t>
  </si>
  <si>
    <t>ACTIVIDADES: 27</t>
  </si>
  <si>
    <t>Se crea un nuevo usuario para un contratista en la oficina de juridica, se asegura de que inicie correctamente</t>
  </si>
  <si>
    <t>ACTIVIDADES: 1</t>
  </si>
  <si>
    <t>Se solicita la creacion de una mesa de ayuda en la pagina web creada, permitiendo que los demas empleados de la alcaldia puedan solicitar soporte a la oficina de sistemas de manera mas efectiva. Se presenta una version funcional ante el Solicitante, y este pide ademas de la solicitud que llegue a sistemas por medio de whatsapp tambien al usuario que solicito el soporte un seguimiento de esta solicitud por medio del correo</t>
  </si>
  <si>
    <t>Abogado personeria</t>
  </si>
  <si>
    <t>Veronica</t>
  </si>
  <si>
    <t>El solicitante pide revision debido a que el equipo no le estaba dando la conexion a internet, se revisa y se deja el equipo conectado a internet</t>
  </si>
  <si>
    <t>El solicitante no le conectaba a la red compartida de Personeria, se cambia al Wi-fi de la propia personeria y se muestra al funcionaria que esta funcionando, se le muestra que era solo cambiar la red</t>
  </si>
  <si>
    <t>La funcionaria solicta la revision con respecto a la conexion a la impresora, se hace la verificacion de donde se esta conectando el equipo, se realiza cambio en el puerto de conexion y se verifica que se pueda imprimir desde el equipo</t>
  </si>
  <si>
    <t>Se solicita la revision del telefono de la Personeria, se realiza la verificacion con el cable, con otro telefono y se realiza el reinicio del modem, se prueba y muestra a otra funcionaria el funcionamiento del telefono</t>
  </si>
  <si>
    <t>ACTIVIDADES: 4</t>
  </si>
  <si>
    <t>ACTIVIDADES: 13</t>
  </si>
  <si>
    <t>Claudia Osses</t>
  </si>
  <si>
    <t>Miriam</t>
  </si>
  <si>
    <t>COMISARIA ZONA NORTE</t>
  </si>
  <si>
    <t>Miriam Abogada</t>
  </si>
  <si>
    <t>Se realiza la actualización de la ofimática del office 2013 al office 2016, mayor compatibilidad y recibimiento de los documentos</t>
  </si>
  <si>
    <t>Se hace una correccion en la ofimatica puesto que estaba sacando porblemas y piediendo permisos de administrador para su funcionamiento</t>
  </si>
  <si>
    <t>Se solicita verificar la conexion y funcionamiento de la impresora, ya que el equipo no realizaba la impresion, se verifica el controlador, las actualizaciones de la impresora y se deja funcionando</t>
  </si>
  <si>
    <t>Se solicita la revision de la cola de impresion de la impresora de Protecion social, ya que no eliminaba el archivo enviado, se corrige y se verifica que quede funcionando</t>
  </si>
  <si>
    <t>La solicitante llama para revisar la ofimatica del equipo de computo, este se revisa y se aplica la correccion requerida, se revisa que quede funcional</t>
  </si>
  <si>
    <t>Debido a un problema de red, las conexiones de el servidor de saymir y demas se vieron interrumpidas, se hace una verificacion desde otra dependencia y vuale a estar funcional. Se muestra al funcionario que las conexiones quedan funcionando</t>
  </si>
  <si>
    <t>El funcionario solicita la actualizacion para la aplicacion de salud, permitiendo el correcto funcionamiento de la aplicacion</t>
  </si>
  <si>
    <t>El funcionario solicita una recarga de tinta, se le hace una recarga a todas la tintas y se le deja evidenciado la recarga de las titnas al funcionario</t>
  </si>
  <si>
    <t>Se realiza una verificacion en el funcionamiento de los respaldos del equipo de computo, y que su informacion sea respaldada</t>
  </si>
  <si>
    <t>La funcionaria solicta la revisoion de la carpeta de escaner de la impresora, se hace la debida configuracion, y se revisa que si le lleguen al equipo los escaners</t>
  </si>
  <si>
    <t>Se solicita una revision con el escaner puesto que este sacaba dos rayas al escanear por ambas caras, se limpia el escaner, los dos vidrios y se muestra a otra funcionaria que se esta escaneando correctamente</t>
  </si>
  <si>
    <t>Se solicita cambio de contraseña del correo institucional, se realiza el cambio y se verifica que quede el usuario ingresando al correo institucional</t>
  </si>
  <si>
    <t>Al solicitante no le ingresaba al correo instucional, se verifica en el equipo de computo del solicitante que quede con la sesion inciada en el correo institucional</t>
  </si>
  <si>
    <t>TOTAL ACTIVIDADES: 46</t>
  </si>
  <si>
    <t>Noviembre 2025</t>
  </si>
  <si>
    <t>MARIO ALFONSO HENAO LOPEZ</t>
  </si>
  <si>
    <t>Brindar apoyo en la atencion de requerimientos tecnicos de primer nivel a los usuario de la administracion Municipal, atendiendo incidentes relacionados con el funcionamiento de equipos de computo, impresoras, configuracion de software y otros perifericos.</t>
  </si>
  <si>
    <t>Apoyar en las tareas logisticas realcionadas con la infraestructura tecnologica, tales como instalacion, traslado o reubicación de equipos de cómputo, dispositivos de red y demas componentes tecnologicos, bajo supervisión del personal del area</t>
  </si>
  <si>
    <t>Apoyar en otras activiaddes de carácter tecnico-operativo o administrativo relacionadas con la gestion de tecnologias de la información, que le sean asignadas por el supervisor del contrato o el Ordenador del Gasto, en concordancia con el objeto contractual.</t>
  </si>
  <si>
    <t>Realizar seguimiento de las solicitudes y requerimientos tecnologicos de los usuarios documentando novedades, avances y necesidades adicionales y comunicandolas oportunamente a los responsables correspondientes.</t>
  </si>
  <si>
    <t>22 de Octubre de 2025 al 21 de Noviembre de 2025</t>
  </si>
  <si>
    <t>Supervisor contrato</t>
  </si>
  <si>
    <t>Brindar apoyo en la atención de requerimientos técnicos de primer nivel a los usuarios de la Administración Municipal, atendiendo incidentes relacionados con el funcionamiento de equipos de cómputo, impresoras, configuración de software y otros periféricos.</t>
  </si>
  <si>
    <t>2026-01-08</t>
  </si>
  <si>
    <t>Olga Mary</t>
  </si>
  <si>
    <t>ASESORIA Y ASISTENCIA</t>
  </si>
  <si>
    <t>LLAMADA TELEFONICA</t>
  </si>
  <si>
    <t>Sí</t>
  </si>
  <si>
    <t>Se solicita la revision en la configuracion con respecto a la impresora, se organiza la conexion y se deja evidenciada el funcionamiento normal al imprimir</t>
  </si>
  <si>
    <t>Se solicita la revision con respecto a un error con el escaner al momento de guardar la informacion, se revisa y reinicia el equipo y la impresora, esta funciona correctamente y se le deja evidenciado al funcionario</t>
  </si>
  <si>
    <t>2026-01-14</t>
  </si>
  <si>
    <t>DESARROLLO COMUNITARIO</t>
  </si>
  <si>
    <t>Lina Maria</t>
  </si>
  <si>
    <t>Se solicita la conexion a la impresora para que la funcionaria pueda imprimir desde el equipo, se hace la revision de la conexion y se le deja evidenciado el funcionamiento normal de la impresora</t>
  </si>
  <si>
    <t>2026-01-21</t>
  </si>
  <si>
    <t>DESARROLLO ECONOMICO</t>
  </si>
  <si>
    <t>Uriel</t>
  </si>
  <si>
    <t>Se solicita la conexion a la impresora del equipo de apoyo, se hace la revisionrespectiva a la conexion y se conecta el equipo con la impresora, se prueba con una impresion y se evidencia el funcionamiento</t>
  </si>
  <si>
    <t>Yuli</t>
  </si>
  <si>
    <t>Se solicita la conexion a la impresora para que el solicitante pueda imprimir, se realiza la conexion y se le solicita a la funcionaria que imprima, se imprime el documento y se le entraga a la funcionaria</t>
  </si>
  <si>
    <t>2026-01-22</t>
  </si>
  <si>
    <t>TESORERIA</t>
  </si>
  <si>
    <t>Gloria</t>
  </si>
  <si>
    <t>Se solicita la revision con los documentos enviados a imprimir, pues la impresora no esta respondiendo ante los documentos, se cancelan los documentos a peticion de la funcionaria, y se prueba con un documento, se deja evidenciado que la impresora funciona normalmente</t>
  </si>
  <si>
    <t>ALMACEN MUNICIPAL</t>
  </si>
  <si>
    <t xml:space="preserve">Se solicita la conexión del equipo a la impresora de Ejecuciones Fiscales para que la funcionaria pueda imprimir, se le hace la conexión a la impresora y se le solicita a la funcionaria que envié a imprimir un documento, se le evidencia a la funcionaria la conexión con la impresora </t>
  </si>
  <si>
    <t>2026-01-23</t>
  </si>
  <si>
    <t>Natalia</t>
  </si>
  <si>
    <t>GESTION HUMANA</t>
  </si>
  <si>
    <t>Hugo</t>
  </si>
  <si>
    <t>2026-01-26</t>
  </si>
  <si>
    <t>Se solicita la recarga tinta a la impresora del funcionario, se hace la recarga correspondiente y se le deja evidenciado al funcionario la recarga de tinta</t>
  </si>
  <si>
    <t>2026-01-27</t>
  </si>
  <si>
    <t>Susana</t>
  </si>
  <si>
    <t>Se solicita la revision del equipo con la conexion a la impresora, se hace la revision correspondiente con la conexion y se le deja a la funcionaria el funcionamiento de la impresora</t>
  </si>
  <si>
    <t>CONTRATACION</t>
  </si>
  <si>
    <t>Andres</t>
  </si>
  <si>
    <t>Se solicita la revision del equipo por la sobre tensionn de la RAM que ha obstaculizado los procesos y el uso, se le hace un fresco de la ram y se le deja evidenciado una mejor capacidad de uso</t>
  </si>
  <si>
    <t>2026-01-28</t>
  </si>
  <si>
    <t>Gustavo</t>
  </si>
  <si>
    <t>Se solicita el cambio de contraseña para la intranet, se hace el cambio respectivo y se evidencia con el funcionario el acceso a su usuario</t>
  </si>
  <si>
    <t>Ulises</t>
  </si>
  <si>
    <t>Se solicita la conjexion del equipo del funcionario a la impresora, permitiendo escanear e imprimir, se le conecta el equipo a la impresora y se le muestra al funcionario que ya imprime</t>
  </si>
  <si>
    <t>Subsecretaria de Medioambiente</t>
  </si>
  <si>
    <t>Ana</t>
  </si>
  <si>
    <t>Melida</t>
  </si>
  <si>
    <t>Actividades: 18</t>
  </si>
  <si>
    <t>Apoyar en el mantenimiento preventivo básico de equipos tecnológicos, realizando tareas como limpieza, revisión de cables, conectores y periféricos, con el objetivo de mantener en condiciones óptimas los recursos informáticos de la entidad.</t>
  </si>
  <si>
    <t>Se solicita la revision en la configuracion con respecto a la conexion a internet, debido a que estaba conectado al Wi-Fi, se revisa los cables y se deja funcionando normal la conexion</t>
  </si>
  <si>
    <t>Se solicita la revision del funcionamiento de la impresora que funciona para la funcionaria y otros funcionarios, se organiza la impresora y se le deja conectada la impresora a la red</t>
  </si>
  <si>
    <t>Se solicita la revision de impresion desde el dispositivo a la impresora, se le hace la conexion y se le deja evidenciada el funcionamiento de la conexion</t>
  </si>
  <si>
    <t>2026-01-15</t>
  </si>
  <si>
    <t>Se solicita la revision de la conexion a internet del solicitante, se hace la revision de la conexion a internet, y se le deja evidenciado el funcionamiento normal del internet</t>
  </si>
  <si>
    <t>Actividades: 4</t>
  </si>
  <si>
    <t>Colaborar en el control y actualización del inventario de activos tecnológicos, incluyendo equipos de cómputo, dispositivos de red, periféricos y demás recursos asignados a las dependencias, según los procedimientos establecidos por la oficina de sistemas.</t>
  </si>
  <si>
    <t>Se solicita la revision del funcionamuento del wifi en la dependencia, se revisa el router y se evidencia que esta desconectado, se conecta el router y este muestra conexion, se le deja evidenciado el funcionamiento del Wi-Fi</t>
  </si>
  <si>
    <t>Se solicita la revision de la conexion a internet de la funcionaria, se hace la revision correspondiente en el equipo, se revisa en el switch y se le deja evidenciado a la solicitante el funcionamiento de la conexion a internet</t>
  </si>
  <si>
    <t>Subsecretaria de Movilidad</t>
  </si>
  <si>
    <t>Paula</t>
  </si>
  <si>
    <t>Se solicita la revision del funcionamiento del telefono la dependencia, se confirma que el telefono esta funcionando normal, se prueba con la funcionaria el recibimiento y llamadas salientes del telefono, queda la constancia del funcionamiento normal del telefono</t>
  </si>
  <si>
    <t>Actividades: 3</t>
  </si>
  <si>
    <t>Apoyar en tareas logísticas relacionadas con la infraestructura tecnológica, tales como instalación, traslado o reubicación de equipos de cómputo, dispositivos de red y demás componentes tecnológicos, bajo supervisión del personal del área.</t>
  </si>
  <si>
    <t>Jazmin</t>
  </si>
  <si>
    <t>Se solicita el traslado temporal de la impresora del jefe de inspeccion a la dependencia de la funcionaria solicitante, se le deja instalada la impresora y se le deja en evidencia el funcionamiento normal de la impresora a la funcionaria</t>
  </si>
  <si>
    <t>Se solicita la revision de las instalaciones del equipo, especialmente el de red, para mover el equipo permitiendo mas especio para el funcionario, se deja con mayor especio de trabajo y movimiento</t>
  </si>
  <si>
    <t>Se solicita la instalacion de equipo actualizado en el puesto de trabajo, con conexión a electricidad y red, se le deja en evidencia al funcionario el funcionamiento del equipo</t>
  </si>
  <si>
    <t>ACTIVIDADES: 3</t>
  </si>
  <si>
    <t>Realizar seguimiento a solicitudes y requerimientos tecnológicos de los usuarios, documentando novedades, avances y necesidades adicionales, y comunicándolas oportunamente a los responsables correspondientes.</t>
  </si>
  <si>
    <t>CONTABILIDAD</t>
  </si>
  <si>
    <t>Diana</t>
  </si>
  <si>
    <t>Se solicita la revision de los permisos para una reunión con la DIAN, se le revisa los permisos habilitados en el equipo para la reunión, se le muestra que si tiene los permisos para poder participar en la reunion, ademas se solicta la revision de los permisos en el celular en caso de que el equipo presente problemas y tambien tiene los permisos habilitados</t>
  </si>
  <si>
    <t>EJECUCIONES FISCALES</t>
  </si>
  <si>
    <t>Cristina</t>
  </si>
  <si>
    <t>Se solicita el cambio de contraseña del usuario de Symir, se realiza el cambio de contraseña a del usuario de Symir y se le deja la informacion a la funcionaria</t>
  </si>
  <si>
    <t>Luis Alejandro Agudelo Lopez</t>
  </si>
  <si>
    <t>INSTALACIONES NUEVAS</t>
  </si>
  <si>
    <t>Se solicita la creacion de un nuevo correo electronico para el funcionario, se confirma con el funcionario la direccion de correo, se crea el nuevo correo institucional y se le envia la informacion correspondiente</t>
  </si>
  <si>
    <t>Se solicita la revision de un equipo en deshuso y la posibilidad de actualizarlos, se hace la revision correspondiente al procesador, que ram soporta, se actualiza la ram y se verifica que el equipo sea capaz de soportar la nueva capacidad</t>
  </si>
  <si>
    <t>Activadades: 5</t>
  </si>
  <si>
    <t>Apoyar en la documentación técnica del área, incluyendo la organización y archivo de documentos, informes de soporte y demás registros, de acuerdo con las directrices internas y del Sistema de Gestión de Calidad.</t>
  </si>
  <si>
    <t>2026-01-16</t>
  </si>
  <si>
    <t>Se solicita la creacion del cronograma de las capacitaciones solicitadas al equipo de sistemas, que se les dara a los funcionarios, esto con el fin de realizar lo necesitado para la calidad</t>
  </si>
  <si>
    <t>2026-01-19</t>
  </si>
  <si>
    <t>Se solicita la creacion del catalogo de servicios de los servicios tecnicos al equipo de sistemas, que se les dara a los funcionarios, esto con el fin de realizar lo necesitado para la calidad y dar a conocer a los funcionarios el tiempo necesitado para cumplir con solicitudes de apoyo tecnico</t>
  </si>
  <si>
    <t>Se solicita la revision y acompañamiento de planes institucionales, discutiendo cualquier duda y aclarando ideas sobre los planes y presentaciones, se hace revision sobre las normatividades y se espera a revision con Calidad</t>
  </si>
  <si>
    <t>2026-02-04</t>
  </si>
  <si>
    <t>Mario</t>
  </si>
  <si>
    <t>Se solicta el cumplimiento y recibiemiento de la persona a cargo de los correos solicitados en la dependencia de centro dia, se hace la firma respectiva con la directora</t>
  </si>
  <si>
    <t>Actividades: 6</t>
  </si>
  <si>
    <t>Colaborar en la implementación y seguimiento de medidas básicas de seguridad informática, tales como el monitoreo de alertas básicas, cierre adecuado de sesiones y cumplimiento de rutinas establecidas para el uso seguro de los recursos tecnológicos.</t>
  </si>
  <si>
    <t>2026-01-30</t>
  </si>
  <si>
    <t>Se solicita el envió de un mensaje masivo a la administración municipal informando sobre el tratamiento de un caso de suplantación de identidad, dando a conocer el manejo del caso.</t>
  </si>
  <si>
    <t>Leidy Bibiana</t>
  </si>
  <si>
    <t>Se solicita otorgar permisos a una nueva funcionaria encargada, se le otorgan los permisos correspondiente y se le informa al funcionario sobre la otorgacion de permisos</t>
  </si>
  <si>
    <t>2026-02-02</t>
  </si>
  <si>
    <t>Luz Aida</t>
  </si>
  <si>
    <t>Se solicita el el cambio de firma del correo electronico, se realiza el cambio y se le evidencia a la funcionaria el cambio de firma de correo electronico</t>
  </si>
  <si>
    <t>2026-02-03</t>
  </si>
  <si>
    <t>IMPUESTOS</t>
  </si>
  <si>
    <t>Ariel</t>
  </si>
  <si>
    <t>Se solicita el cambio de contraseña de un equipo, se le hace el cambio de contraseña y se le informa al funcionario</t>
  </si>
  <si>
    <t>Nora Alba</t>
  </si>
  <si>
    <t>Se solicita la asignacion de permisos del modulo a la funcionaria, se hace la asignacion de permisos y se le informa a la funcionaria</t>
  </si>
  <si>
    <t>Se solicita cambio de contraseña para el ingreso a los modulos, se hace el cambio de contraseña y se le informa al funcionario</t>
  </si>
  <si>
    <t>INFRAESTRUCTURA</t>
  </si>
  <si>
    <t>Vanesa</t>
  </si>
  <si>
    <t>Se solicita la informacion respectiva al ingreso con las credenciales de la funcionaria a la intranet, se le informa a la funcionaria el cambio con las credenciales y esta ingresa a la plataforma</t>
  </si>
  <si>
    <t>2026-02-05</t>
  </si>
  <si>
    <t>Se solicita la revision de usuario en la intranet ya que la funcionaria le sacaba error, se revisa el usuario y se reactiva en la intranet, se le informa a la solicitante sobre la activacion del usuario y se evidencia con el funcionario que logra ingresar</t>
  </si>
  <si>
    <t>Flor Maria Montoya</t>
  </si>
  <si>
    <t>Se solicita la asignacion de permisos de un modulo, se asignan los permisos correspondientes y se le informa al solicitante</t>
  </si>
  <si>
    <t>Luis Fernando</t>
  </si>
  <si>
    <t>Actividades: 10</t>
  </si>
  <si>
    <t>Apoyar en otras actividades de carácter técnico-operativo o administrativo relacionadas con la gestión de las tecnologías de la información, que le sean asignadas por el supervisor del contrato o del ordenador del gasto, en concordancia con el objeto contractual.</t>
  </si>
  <si>
    <t>Se solicita el bloqueo o desisntalacion de software no licenciado conocido como Cuyis, y que esta posiblemente instalado en equipos de computo de la administración municipal</t>
  </si>
  <si>
    <t>Se solicita el bloqueo o desisntalacion de software no licenciado o que ya no tiene soporte y es innecesario en os equipos de la administración municipal, reduciendo riesgos y vulnerabilidades</t>
  </si>
  <si>
    <t>TOTAL ACTIVIDADES: 52</t>
  </si>
  <si>
    <t>Se solicta agregar un medio de notificacion de mensajes más continuo e ininterrupido</t>
  </si>
  <si>
    <t>En proceso</t>
  </si>
  <si>
    <t>2026.10.05.06.035</t>
  </si>
  <si>
    <t>Febrero 2026</t>
  </si>
  <si>
    <t>8 de Enero de 2026 al 7 de Febrero de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</si>
</sst>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m\-yy"/>
    <numFmt numFmtId="165" formatCode="d\-mmm\-yyyy"/>
    <numFmt numFmtId="166" formatCode="yyyy\-mm\-dd;@"/>
  </numFmts>
  <fonts count="11" x14ac:knownFonts="1">
    <font>
      <sz val="11"/>
      <color theme="1"/>
      <name val="Calibri"/>
      <family val="2"/>
      <scheme val="minor"/>
    </font>
    <font>
      <b/>
      <sz val="10"/>
      <color rgb="FF000000"/>
      <name val="Arial"/>
      <family val="2"/>
    </font>
    <font>
      <sz val="10"/>
      <color rgb="FF000000"/>
      <name val="Arial"/>
      <family val="2"/>
    </font>
    <font>
      <sz val="10"/>
      <color theme="1"/>
      <name val="Calibri"/>
      <family val="2"/>
      <scheme val="minor"/>
    </font>
    <font>
      <b/>
      <sz val="10"/>
      <color theme="1"/>
      <name val="Calibri"/>
      <family val="2"/>
      <scheme val="minor"/>
    </font>
    <font>
      <i/>
      <sz val="10"/>
      <color theme="1"/>
      <name val="Calibri"/>
      <family val="2"/>
      <scheme val="minor"/>
    </font>
    <font>
      <sz val="14"/>
      <color theme="1"/>
      <name val="Calibri"/>
      <family val="2"/>
      <scheme val="minor"/>
    </font>
    <font>
      <b/>
      <sz val="14"/>
      <color theme="1"/>
      <name val="Calibri"/>
      <family val="2"/>
      <scheme val="minor"/>
    </font>
    <font>
      <sz val="10"/>
      <color theme="1"/>
      <name val="Arial"/>
      <family val="2"/>
    </font>
    <font>
      <b/>
      <sz val="10"/>
      <color theme="1"/>
      <name val="Arial"/>
      <family val="2"/>
    </font>
    <font>
      <i/>
      <sz val="10"/>
      <color theme="1"/>
      <name val="Arial"/>
      <family val="2"/>
    </font>
  </fonts>
  <fills count="3">
    <fill>
      <patternFill patternType="none"/>
    </fill>
    <fill>
      <patternFill patternType="gray125"/>
    </fill>
    <fill>
      <patternFill patternType="solid">
        <fgColor theme="0"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style="thin">
        <color indexed="64"/>
      </top>
      <bottom/>
      <diagonal/>
    </border>
  </borders>
  <cellStyleXfs count="1">
    <xf numFmtId="0" fontId="0" fillId="0" borderId="0"/>
  </cellStyleXfs>
  <cellXfs count="98">
    <xf numFmtId="0" fontId="0" fillId="0" borderId="0" xfId="0"/>
    <xf numFmtId="49" fontId="4" fillId="2"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left" vertical="center" wrapText="1"/>
    </xf>
    <xf numFmtId="49" fontId="3"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0" fontId="3" fillId="0" borderId="1" xfId="0" applyFont="1" applyBorder="1" applyAlignment="1">
      <alignment wrapText="1"/>
    </xf>
    <xf numFmtId="0" fontId="3" fillId="0" borderId="1" xfId="0" applyFont="1" applyBorder="1" applyAlignment="1">
      <alignment horizont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0" fontId="2" fillId="0" borderId="1" xfId="0" applyFont="1" applyBorder="1" applyAlignment="1">
      <alignment vertical="top" wrapText="1"/>
    </xf>
    <xf numFmtId="0" fontId="4" fillId="0" borderId="1" xfId="0" applyFont="1" applyBorder="1" applyAlignment="1">
      <alignment horizontal="left" vertical="top" wrapText="1"/>
    </xf>
    <xf numFmtId="0" fontId="0" fillId="0" borderId="1" xfId="0" applyBorder="1"/>
    <xf numFmtId="0" fontId="2" fillId="0" borderId="1" xfId="0" applyFont="1" applyBorder="1" applyAlignment="1">
      <alignment horizontal="left" vertical="top" wrapText="1"/>
    </xf>
    <xf numFmtId="49" fontId="2" fillId="0" borderId="1" xfId="0" applyNumberFormat="1" applyFont="1" applyBorder="1" applyAlignment="1">
      <alignment vertical="top" wrapText="1"/>
    </xf>
    <xf numFmtId="1" fontId="1" fillId="0" borderId="1" xfId="0" applyNumberFormat="1" applyFont="1" applyBorder="1" applyAlignment="1">
      <alignment vertical="top" wrapText="1"/>
    </xf>
    <xf numFmtId="0" fontId="2" fillId="0" borderId="1" xfId="0" applyFont="1" applyBorder="1" applyAlignment="1">
      <alignment horizontal="left" wrapText="1"/>
    </xf>
    <xf numFmtId="0" fontId="1" fillId="0" borderId="1" xfId="0" applyFont="1" applyBorder="1" applyAlignment="1">
      <alignment vertical="top" wrapText="1"/>
    </xf>
    <xf numFmtId="0" fontId="1" fillId="0" borderId="1" xfId="0" applyFont="1" applyBorder="1" applyAlignment="1">
      <alignment vertical="top"/>
    </xf>
    <xf numFmtId="0" fontId="3" fillId="0" borderId="1" xfId="0" applyFont="1" applyBorder="1" applyAlignment="1">
      <alignment vertical="top" wrapText="1"/>
    </xf>
    <xf numFmtId="0" fontId="0" fillId="0" borderId="0" xfId="0" applyAlignment="1">
      <alignment wrapText="1"/>
    </xf>
    <xf numFmtId="0" fontId="3" fillId="0" borderId="1" xfId="0" applyNumberFormat="1" applyFont="1" applyBorder="1" applyAlignment="1">
      <alignment horizontal="left" vertical="center" wrapText="1"/>
    </xf>
    <xf numFmtId="0" fontId="1" fillId="0" borderId="1" xfId="0" applyFont="1" applyBorder="1" applyAlignment="1">
      <alignment horizontal="left" wrapText="1"/>
    </xf>
    <xf numFmtId="0" fontId="3" fillId="0" borderId="1" xfId="0" applyFont="1" applyBorder="1" applyAlignment="1">
      <alignment horizontal="left" vertical="top" wrapText="1"/>
    </xf>
    <xf numFmtId="0" fontId="1" fillId="0" borderId="1" xfId="0" applyFont="1" applyBorder="1" applyAlignment="1">
      <alignment horizontal="left" vertical="center" wrapText="1"/>
    </xf>
    <xf numFmtId="0" fontId="1" fillId="0" borderId="1" xfId="0" applyFont="1" applyBorder="1" applyAlignment="1">
      <alignment horizontal="left" vertical="top" wrapText="1"/>
    </xf>
    <xf numFmtId="0" fontId="0" fillId="0" borderId="1" xfId="0" applyBorder="1" applyAlignment="1">
      <alignment horizontal="left" vertical="center" wrapText="1"/>
    </xf>
    <xf numFmtId="0" fontId="0" fillId="0" borderId="1" xfId="0" applyBorder="1" applyAlignment="1">
      <alignment vertical="center" wrapText="1"/>
    </xf>
    <xf numFmtId="49" fontId="0" fillId="0" borderId="1" xfId="0" applyNumberFormat="1" applyBorder="1" applyAlignment="1">
      <alignment horizontal="center" vertical="center" wrapText="1"/>
    </xf>
    <xf numFmtId="15" fontId="5" fillId="2" borderId="1" xfId="0" applyNumberFormat="1" applyFont="1" applyFill="1" applyBorder="1" applyAlignment="1">
      <alignment horizontal="center" vertical="center" wrapText="1"/>
    </xf>
    <xf numFmtId="0" fontId="4" fillId="2" borderId="1" xfId="0" applyFont="1" applyFill="1" applyBorder="1" applyAlignment="1">
      <alignment horizontal="left" vertical="center" wrapText="1"/>
    </xf>
    <xf numFmtId="15" fontId="0" fillId="0" borderId="1" xfId="0" applyNumberFormat="1" applyBorder="1" applyAlignment="1">
      <alignment horizontal="center" vertical="center" wrapText="1"/>
    </xf>
    <xf numFmtId="164" fontId="3" fillId="0" borderId="1" xfId="0" applyNumberFormat="1" applyFont="1" applyBorder="1" applyAlignment="1">
      <alignment horizontal="left" vertical="center" wrapText="1"/>
    </xf>
    <xf numFmtId="164" fontId="3" fillId="0" borderId="1" xfId="0" applyNumberFormat="1" applyFont="1" applyBorder="1" applyAlignment="1">
      <alignment horizontal="center" vertical="center" wrapText="1"/>
    </xf>
    <xf numFmtId="165" fontId="0" fillId="0" borderId="1" xfId="0" applyNumberFormat="1" applyBorder="1" applyAlignment="1">
      <alignment horizontal="left" vertical="center" wrapText="1"/>
    </xf>
    <xf numFmtId="15" fontId="3" fillId="0" borderId="1" xfId="0" applyNumberFormat="1" applyFont="1" applyBorder="1" applyAlignment="1">
      <alignment horizontal="center" vertical="center" wrapText="1"/>
    </xf>
    <xf numFmtId="0" fontId="4" fillId="0" borderId="1" xfId="0" applyFont="1" applyBorder="1" applyAlignment="1">
      <alignment wrapText="1"/>
    </xf>
    <xf numFmtId="15" fontId="3" fillId="0" borderId="1" xfId="0" applyNumberFormat="1" applyFont="1" applyBorder="1" applyAlignment="1">
      <alignment horizontal="left" vertical="center" wrapText="1"/>
    </xf>
    <xf numFmtId="15" fontId="3" fillId="0" borderId="1" xfId="0" applyNumberFormat="1" applyFont="1" applyBorder="1" applyAlignment="1">
      <alignment wrapText="1"/>
    </xf>
    <xf numFmtId="0" fontId="3" fillId="0" borderId="4" xfId="0" applyFont="1" applyBorder="1" applyAlignment="1">
      <alignment wrapText="1"/>
    </xf>
    <xf numFmtId="0" fontId="3" fillId="0" borderId="0" xfId="0" applyFont="1" applyBorder="1" applyAlignment="1">
      <alignment wrapText="1"/>
    </xf>
    <xf numFmtId="15" fontId="3" fillId="0" borderId="0" xfId="0" applyNumberFormat="1" applyFont="1" applyBorder="1" applyAlignment="1">
      <alignment wrapText="1"/>
    </xf>
    <xf numFmtId="0" fontId="3" fillId="0" borderId="5" xfId="0" applyFont="1" applyBorder="1" applyAlignment="1">
      <alignment wrapText="1"/>
    </xf>
    <xf numFmtId="0" fontId="1" fillId="0" borderId="1" xfId="0" applyFont="1" applyBorder="1" applyAlignment="1">
      <alignment horizontal="left" vertical="top" wrapText="1"/>
    </xf>
    <xf numFmtId="0" fontId="1" fillId="0" borderId="1" xfId="0" applyFont="1" applyBorder="1" applyAlignment="1">
      <alignment horizontal="left" vertical="center" wrapText="1"/>
    </xf>
    <xf numFmtId="166" fontId="8" fillId="0" borderId="0" xfId="0" applyNumberFormat="1" applyFont="1" applyAlignment="1">
      <alignment horizontal="center" vertical="center" wrapText="1"/>
    </xf>
    <xf numFmtId="0" fontId="8" fillId="0" borderId="1" xfId="0" applyFont="1" applyBorder="1" applyAlignment="1">
      <alignment wrapText="1"/>
    </xf>
    <xf numFmtId="49" fontId="9" fillId="2" borderId="1" xfId="0" applyNumberFormat="1" applyFont="1" applyFill="1" applyBorder="1" applyAlignment="1">
      <alignment horizontal="center" vertical="center" wrapText="1"/>
    </xf>
    <xf numFmtId="15" fontId="10" fillId="2" borderId="1" xfId="0" applyNumberFormat="1" applyFont="1" applyFill="1" applyBorder="1" applyAlignment="1">
      <alignment horizontal="center" vertical="center" wrapText="1"/>
    </xf>
    <xf numFmtId="0" fontId="9" fillId="2" borderId="1" xfId="0" applyFont="1" applyFill="1" applyBorder="1" applyAlignment="1">
      <alignment horizontal="left" vertical="center" wrapText="1"/>
    </xf>
    <xf numFmtId="0" fontId="9" fillId="2" borderId="1" xfId="0" applyFont="1" applyFill="1" applyBorder="1" applyAlignment="1">
      <alignment horizontal="center" vertical="center" wrapText="1"/>
    </xf>
    <xf numFmtId="0" fontId="8" fillId="0" borderId="0" xfId="0" applyFont="1" applyAlignment="1">
      <alignment horizontal="center" vertical="center" wrapText="1"/>
    </xf>
    <xf numFmtId="0" fontId="8" fillId="0" borderId="1" xfId="0" applyFont="1" applyBorder="1" applyAlignment="1">
      <alignment horizontal="center" vertical="center" wrapText="1"/>
    </xf>
    <xf numFmtId="0" fontId="8" fillId="0" borderId="3" xfId="0" applyFont="1" applyBorder="1" applyAlignment="1">
      <alignment horizontal="left" vertical="center" wrapText="1"/>
    </xf>
    <xf numFmtId="164" fontId="8" fillId="0" borderId="0" xfId="0" applyNumberFormat="1" applyFont="1" applyBorder="1" applyAlignment="1">
      <alignment horizontal="left" vertical="center" wrapText="1"/>
    </xf>
    <xf numFmtId="0" fontId="8" fillId="0" borderId="0" xfId="0" applyFont="1" applyBorder="1" applyAlignment="1">
      <alignment horizontal="left" vertical="center" wrapText="1"/>
    </xf>
    <xf numFmtId="49" fontId="8" fillId="0" borderId="0" xfId="0" applyNumberFormat="1" applyFont="1" applyBorder="1" applyAlignment="1">
      <alignment horizontal="center" vertical="center" wrapText="1"/>
    </xf>
    <xf numFmtId="0" fontId="8" fillId="0" borderId="0" xfId="0" applyFont="1" applyBorder="1" applyAlignment="1">
      <alignment horizontal="center" vertical="center" wrapText="1"/>
    </xf>
    <xf numFmtId="164" fontId="8" fillId="0" borderId="0" xfId="0" applyNumberFormat="1" applyFont="1" applyBorder="1" applyAlignment="1">
      <alignment horizontal="center" vertical="center" wrapText="1"/>
    </xf>
    <xf numFmtId="0" fontId="8" fillId="0" borderId="0" xfId="0" applyNumberFormat="1" applyFont="1" applyBorder="1" applyAlignment="1">
      <alignment horizontal="left" vertical="center" wrapText="1"/>
    </xf>
    <xf numFmtId="0" fontId="8" fillId="0" borderId="4" xfId="0" applyFont="1" applyBorder="1" applyAlignment="1">
      <alignment wrapText="1"/>
    </xf>
    <xf numFmtId="0" fontId="8" fillId="0" borderId="0" xfId="0" applyFont="1" applyAlignment="1">
      <alignment vertical="center" wrapText="1"/>
    </xf>
    <xf numFmtId="0" fontId="9" fillId="0" borderId="2" xfId="0" applyFont="1" applyBorder="1" applyAlignment="1">
      <alignment wrapText="1"/>
    </xf>
    <xf numFmtId="15" fontId="8" fillId="0" borderId="0" xfId="0" applyNumberFormat="1" applyFont="1" applyBorder="1" applyAlignment="1">
      <alignment horizontal="left" vertical="center" wrapText="1"/>
    </xf>
    <xf numFmtId="15" fontId="8" fillId="0" borderId="0" xfId="0" applyNumberFormat="1" applyFont="1" applyBorder="1" applyAlignment="1">
      <alignment horizontal="center" vertical="center" wrapText="1"/>
    </xf>
    <xf numFmtId="0" fontId="9" fillId="0" borderId="1" xfId="0" applyFont="1" applyBorder="1" applyAlignment="1">
      <alignment horizontal="left" vertical="top" wrapText="1"/>
    </xf>
    <xf numFmtId="0" fontId="8" fillId="0" borderId="0" xfId="0" applyFont="1" applyBorder="1" applyAlignment="1">
      <alignment wrapText="1"/>
    </xf>
    <xf numFmtId="15" fontId="8" fillId="0" borderId="0" xfId="0" applyNumberFormat="1" applyFont="1" applyBorder="1" applyAlignment="1">
      <alignment wrapText="1"/>
    </xf>
    <xf numFmtId="0" fontId="8" fillId="0" borderId="5" xfId="0" applyFont="1" applyBorder="1" applyAlignment="1">
      <alignment wrapText="1"/>
    </xf>
    <xf numFmtId="15" fontId="8" fillId="0" borderId="1" xfId="0" applyNumberFormat="1" applyFont="1" applyBorder="1" applyAlignment="1">
      <alignment wrapText="1"/>
    </xf>
    <xf numFmtId="0" fontId="9" fillId="0" borderId="2" xfId="0" applyFont="1" applyBorder="1" applyAlignment="1">
      <alignment horizontal="left" vertical="center" wrapText="1"/>
    </xf>
    <xf numFmtId="0" fontId="8" fillId="0" borderId="2" xfId="0" applyFont="1" applyBorder="1" applyAlignment="1">
      <alignment horizontal="left" vertical="center" wrapText="1"/>
    </xf>
    <xf numFmtId="0" fontId="8" fillId="0" borderId="0" xfId="0" applyFont="1" applyBorder="1" applyAlignment="1">
      <alignment vertical="center" wrapText="1"/>
    </xf>
    <xf numFmtId="0" fontId="8" fillId="0" borderId="0" xfId="0" applyFont="1" applyBorder="1" applyAlignment="1">
      <alignment horizontal="center" wrapText="1"/>
    </xf>
    <xf numFmtId="0" fontId="2" fillId="0" borderId="7" xfId="0" applyFont="1" applyBorder="1" applyAlignment="1">
      <alignment vertical="top" wrapText="1"/>
    </xf>
    <xf numFmtId="0" fontId="1" fillId="0" borderId="1" xfId="0" applyFont="1" applyBorder="1" applyAlignment="1">
      <alignment horizontal="center" vertical="center" wrapText="1"/>
    </xf>
    <xf numFmtId="0" fontId="1" fillId="0" borderId="1" xfId="0" applyFont="1" applyBorder="1" applyAlignment="1">
      <alignment horizontal="left" vertical="center" wrapText="1"/>
    </xf>
    <xf numFmtId="0" fontId="1" fillId="0" borderId="1" xfId="0" applyFont="1" applyBorder="1" applyAlignment="1">
      <alignment horizontal="left" vertical="top" wrapText="1"/>
    </xf>
    <xf numFmtId="1" fontId="1" fillId="0" borderId="1" xfId="0" applyNumberFormat="1" applyFont="1" applyBorder="1" applyAlignment="1">
      <alignment horizontal="left" vertical="top" wrapText="1"/>
    </xf>
    <xf numFmtId="0" fontId="8" fillId="0" borderId="1" xfId="0" applyFont="1" applyBorder="1" applyAlignment="1">
      <alignment horizontal="left" vertical="top" wrapText="1"/>
    </xf>
    <xf numFmtId="3" fontId="1" fillId="0" borderId="1" xfId="0" applyNumberFormat="1" applyFont="1" applyBorder="1" applyAlignment="1">
      <alignment horizontal="left" vertical="center" wrapText="1"/>
    </xf>
    <xf numFmtId="0" fontId="1" fillId="0" borderId="1" xfId="0" applyFont="1" applyBorder="1" applyAlignment="1">
      <alignment horizontal="center" wrapText="1"/>
    </xf>
    <xf numFmtId="0" fontId="1" fillId="0" borderId="6" xfId="0" applyFont="1" applyBorder="1" applyAlignment="1">
      <alignment horizontal="center" wrapText="1"/>
    </xf>
    <xf numFmtId="49" fontId="1" fillId="0" borderId="1" xfId="0" applyNumberFormat="1" applyFont="1" applyBorder="1" applyAlignment="1">
      <alignment horizontal="left"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0" fontId="6" fillId="0" borderId="1" xfId="0" applyFont="1" applyBorder="1" applyAlignment="1">
      <alignment horizontal="center" wrapText="1"/>
    </xf>
    <xf numFmtId="0" fontId="7" fillId="0" borderId="1" xfId="0" applyFont="1" applyBorder="1" applyAlignment="1">
      <alignment horizontal="center"/>
    </xf>
    <xf numFmtId="0" fontId="0" fillId="0" borderId="1" xfId="0" applyBorder="1" applyAlignment="1">
      <alignment horizontal="center" wrapText="1"/>
    </xf>
    <xf numFmtId="49" fontId="1" fillId="0" borderId="1" xfId="0" applyNumberFormat="1" applyFont="1" applyBorder="1" applyAlignment="1">
      <alignment horizontal="center" vertical="top" wrapText="1"/>
    </xf>
    <xf numFmtId="1" fontId="1" fillId="0" borderId="1" xfId="0" applyNumberFormat="1" applyFont="1" applyBorder="1" applyAlignment="1">
      <alignment horizontal="center" vertical="top" wrapText="1"/>
    </xf>
    <xf numFmtId="0" fontId="1" fillId="0" borderId="2" xfId="0" applyFont="1" applyBorder="1" applyAlignment="1">
      <alignment horizontal="center" vertical="top" wrapText="1"/>
    </xf>
    <xf numFmtId="0" fontId="1" fillId="0" borderId="3" xfId="0" applyFont="1" applyBorder="1" applyAlignment="1">
      <alignment horizontal="center" vertical="top" wrapText="1"/>
    </xf>
    <xf numFmtId="0" fontId="1" fillId="0" borderId="4" xfId="0" applyFont="1" applyBorder="1" applyAlignment="1">
      <alignment horizontal="center" vertical="top" wrapText="1"/>
    </xf>
    <xf numFmtId="0" fontId="1" fillId="0" borderId="1" xfId="0" applyFont="1" applyBorder="1" applyAlignment="1">
      <alignment horizontal="center" vertical="top"/>
    </xf>
    <xf numFmtId="0" fontId="1" fillId="0" borderId="1" xfId="0" applyFont="1" applyBorder="1" applyAlignment="1">
      <alignment horizontal="center"/>
    </xf>
    <xf numFmtId="0" fontId="0" fillId="0" borderId="1" xfId="0" applyBorder="1" applyAlignment="1">
      <alignment horizontal="center"/>
    </xf>
    <xf numFmtId="0" fontId="6" fillId="0" borderId="1" xfId="0" applyFont="1" applyBorder="1" applyAlignment="1">
      <alignment horizontal="center"/>
    </xf>
  </cellXfs>
  <cellStyles count="1">
    <cellStyle name="Normal" xfId="0" builtinId="0"/>
  </cellStyles>
  <dxfs count="44">
    <dxf>
      <alignment horizontal="left" vertical="center" textRotation="0" wrapText="1" indent="0" justifyLastLine="0" shrinkToFit="0" readingOrder="0"/>
    </dxf>
    <dxf>
      <font>
        <strike val="0"/>
        <outline val="0"/>
        <shadow val="0"/>
        <u val="none"/>
        <vertAlign val="baseline"/>
        <sz val="10"/>
      </font>
      <numFmt numFmtId="0" formatCode="General"/>
      <alignment horizontal="left" vertical="center" textRotation="0" wrapText="1" indent="0" justifyLastLine="0" shrinkToFit="0" readingOrder="0"/>
      <border diagonalUp="0" diagonalDown="0" outline="0">
        <left style="thin">
          <color indexed="64"/>
        </left>
        <right/>
        <top style="thin">
          <color indexed="64"/>
        </top>
        <bottom style="thin">
          <color indexed="64"/>
        </bottom>
      </border>
    </dxf>
    <dxf>
      <alignment horizontal="center" vertical="center" textRotation="0" wrapText="0" indent="0" justifyLastLine="0" shrinkToFit="0" readingOrder="0"/>
    </dxf>
    <dxf>
      <font>
        <strike val="0"/>
        <outline val="0"/>
        <shadow val="0"/>
        <u val="none"/>
        <vertAlign val="baseline"/>
        <sz val="10"/>
      </font>
      <numFmt numFmtId="164" formatCode="d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font>
        <strike val="0"/>
        <outline val="0"/>
        <shadow val="0"/>
        <u val="none"/>
        <vertAlign val="baseline"/>
        <sz val="10"/>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1" indent="0" justifyLastLine="0" shrinkToFit="0" readingOrder="0"/>
    </dxf>
    <dxf>
      <font>
        <strike val="0"/>
        <outline val="0"/>
        <shadow val="0"/>
        <u val="none"/>
        <vertAlign val="baseline"/>
        <sz val="10"/>
      </font>
      <numFmt numFmtId="30" formatCode="@"/>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font>
        <strike val="0"/>
        <outline val="0"/>
        <shadow val="0"/>
        <u val="none"/>
        <vertAlign val="baseline"/>
        <sz val="10"/>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font>
        <strike val="0"/>
        <outline val="0"/>
        <shadow val="0"/>
        <u val="none"/>
        <vertAlign val="baseline"/>
        <sz val="10"/>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dxf>
    <dxf>
      <font>
        <strike val="0"/>
        <outline val="0"/>
        <shadow val="0"/>
        <u val="none"/>
        <vertAlign val="baseline"/>
        <sz val="10"/>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dxf>
    <dxf>
      <font>
        <strike val="0"/>
        <outline val="0"/>
        <shadow val="0"/>
        <u val="none"/>
        <vertAlign val="baseline"/>
        <sz val="10"/>
      </font>
      <numFmt numFmtId="164" formatCode="dd\-mmm\-yy"/>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font>
        <b val="0"/>
        <strike val="0"/>
        <outline val="0"/>
        <shadow val="0"/>
        <u val="none"/>
        <vertAlign val="baseline"/>
        <sz val="10"/>
      </font>
      <alignment horizontal="left"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medium">
          <color indexed="64"/>
        </top>
      </border>
    </dxf>
    <dxf>
      <font>
        <strike val="0"/>
        <outline val="0"/>
        <shadow val="0"/>
        <u val="none"/>
        <vertAlign val="baseline"/>
        <sz val="10"/>
      </font>
      <numFmt numFmtId="30" formatCode="@"/>
      <alignment textRotation="0" wrapText="1" indent="0" justifyLastLine="0" shrinkToFit="0" readingOrder="0"/>
    </dxf>
    <dxf>
      <border outline="0">
        <bottom style="medium">
          <color indexed="64"/>
        </bottom>
      </border>
    </dxf>
    <dxf>
      <font>
        <b/>
        <i val="0"/>
        <strike val="0"/>
        <condense val="0"/>
        <extend val="0"/>
        <outline val="0"/>
        <shadow val="0"/>
        <u val="none"/>
        <vertAlign val="baseline"/>
        <sz val="10"/>
        <color theme="1"/>
        <name val="Calibri"/>
        <scheme val="minor"/>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left" vertical="center" textRotation="0" wrapText="1" indent="0" justifyLastLine="0" shrinkToFit="0" readingOrder="0"/>
    </dxf>
    <dxf>
      <font>
        <strike val="0"/>
        <outline val="0"/>
        <shadow val="0"/>
        <u val="none"/>
        <vertAlign val="baseline"/>
        <sz val="10"/>
        <name val="Arial"/>
        <scheme val="none"/>
      </font>
      <numFmt numFmtId="0" formatCode="General"/>
      <alignment horizontal="left" vertical="center" textRotation="0" wrapText="1" indent="0" justifyLastLine="0" shrinkToFit="0" readingOrder="0"/>
      <border diagonalUp="0" diagonalDown="0" outline="0">
        <left style="thin">
          <color indexed="64"/>
        </left>
        <right/>
        <top style="thin">
          <color indexed="64"/>
        </top>
        <bottom style="thin">
          <color indexed="64"/>
        </bottom>
      </border>
    </dxf>
    <dxf>
      <alignment horizontal="center" vertical="center" textRotation="0" wrapText="0" indent="0" justifyLastLine="0" shrinkToFit="0" readingOrder="0"/>
    </dxf>
    <dxf>
      <font>
        <strike val="0"/>
        <outline val="0"/>
        <shadow val="0"/>
        <u val="none"/>
        <vertAlign val="baseline"/>
        <sz val="10"/>
        <name val="Arial"/>
        <scheme val="none"/>
      </font>
      <numFmt numFmtId="164" formatCode="d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font>
        <strike val="0"/>
        <outline val="0"/>
        <shadow val="0"/>
        <u val="none"/>
        <vertAlign val="baseline"/>
        <sz val="10"/>
        <name val="Arial"/>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1" indent="0" justifyLastLine="0" shrinkToFit="0" readingOrder="0"/>
    </dxf>
    <dxf>
      <font>
        <strike val="0"/>
        <outline val="0"/>
        <shadow val="0"/>
        <u val="none"/>
        <vertAlign val="baseline"/>
        <sz val="10"/>
        <name val="Arial"/>
        <scheme val="none"/>
      </font>
      <numFmt numFmtId="30" formatCode="@"/>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font>
        <strike val="0"/>
        <outline val="0"/>
        <shadow val="0"/>
        <u val="none"/>
        <vertAlign val="baseline"/>
        <sz val="10"/>
        <name val="Arial"/>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font>
        <strike val="0"/>
        <outline val="0"/>
        <shadow val="0"/>
        <u val="none"/>
        <vertAlign val="baseline"/>
        <sz val="10"/>
        <name val="Arial"/>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dxf>
    <dxf>
      <font>
        <strike val="0"/>
        <outline val="0"/>
        <shadow val="0"/>
        <u val="none"/>
        <vertAlign val="baseline"/>
        <sz val="10"/>
        <name val="Arial"/>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dxf>
    <dxf>
      <font>
        <strike val="0"/>
        <outline val="0"/>
        <shadow val="0"/>
        <u val="none"/>
        <vertAlign val="baseline"/>
        <sz val="10"/>
        <name val="Arial"/>
        <scheme val="none"/>
      </font>
      <numFmt numFmtId="164" formatCode="dd\-mmm\-yy"/>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font>
        <b val="0"/>
        <strike val="0"/>
        <outline val="0"/>
        <shadow val="0"/>
        <u val="none"/>
        <vertAlign val="baseline"/>
        <sz val="10"/>
        <name val="Arial"/>
        <scheme val="none"/>
      </font>
      <alignment horizontal="left"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medium">
          <color rgb="FF000000"/>
        </top>
      </border>
    </dxf>
    <dxf>
      <font>
        <strike val="0"/>
        <outline val="0"/>
        <shadow val="0"/>
        <u val="none"/>
        <vertAlign val="baseline"/>
        <sz val="10"/>
        <name val="Arial"/>
        <scheme val="none"/>
      </font>
      <numFmt numFmtId="30" formatCode="@"/>
      <alignment textRotation="0" wrapText="1" indent="0" justifyLastLine="0" shrinkToFit="0" readingOrder="0"/>
    </dxf>
    <dxf>
      <border outline="0">
        <bottom style="medium">
          <color rgb="FF000000"/>
        </bottom>
      </border>
    </dxf>
    <dxf>
      <font>
        <b/>
        <i val="0"/>
        <strike val="0"/>
        <condense val="0"/>
        <extend val="0"/>
        <outline val="0"/>
        <shadow val="0"/>
        <u val="none"/>
        <vertAlign val="baseline"/>
        <sz val="10"/>
        <color theme="1"/>
        <name val="Arial"/>
        <scheme val="none"/>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Tabla2245678912111013141516172" displayName="Tabla2245678912111013141516172" ref="A7:I67" totalsRowShown="0" headerRowDxfId="43" dataDxfId="41" headerRowBorderDxfId="42" tableBorderDxfId="40">
  <autoFilter ref="A7:I67"/>
  <tableColumns count="9">
    <tableColumn id="7" name="TIPO DE ACTIVIDAD" dataDxfId="39" totalsRowDxfId="38"/>
    <tableColumn id="1" name="FECHA" dataDxfId="37" totalsRowDxfId="36"/>
    <tableColumn id="3" name="DEPENDENCIA" dataDxfId="35" totalsRowDxfId="34"/>
    <tableColumn id="4" name="SOLICITANTE" dataDxfId="33" totalsRowDxfId="32"/>
    <tableColumn id="5" name="TIPO DE SOLICITUD" dataDxfId="31" totalsRowDxfId="30"/>
    <tableColumn id="6" name="MEDIO DE SOLICITUD" dataDxfId="29" totalsRowDxfId="28"/>
    <tableColumn id="8" name="CUMPLIDO" dataDxfId="27" totalsRowDxfId="26"/>
    <tableColumn id="9" name="FECHA ATENCIÓN" dataDxfId="25" totalsRowDxfId="24"/>
    <tableColumn id="10" name="OBSERVACIONES" dataDxfId="23" totalsRowDxfId="22"/>
  </tableColumns>
  <tableStyleInfo name="TableStyleLight8" showFirstColumn="0" showLastColumn="0" showRowStripes="1" showColumnStripes="0"/>
</table>
</file>

<file path=xl/tables/table2.xml><?xml version="1.0" encoding="utf-8"?>
<table xmlns="http://schemas.openxmlformats.org/spreadsheetml/2006/main" id="16" name="Tabla224567891211101314151617" displayName="Tabla224567891211101314151617" ref="A7:I59" totalsRowShown="0" headerRowDxfId="21" dataDxfId="19" headerRowBorderDxfId="20" tableBorderDxfId="18">
  <autoFilter ref="A7:I59"/>
  <tableColumns count="9">
    <tableColumn id="7" name="TIPO DE ACTIVIDAD" dataDxfId="17" totalsRowDxfId="16"/>
    <tableColumn id="1" name="FECHA" dataDxfId="15" totalsRowDxfId="14"/>
    <tableColumn id="3" name="DEPENDENCIA" dataDxfId="13" totalsRowDxfId="12"/>
    <tableColumn id="4" name="SOLICITANTE" dataDxfId="11" totalsRowDxfId="10"/>
    <tableColumn id="5" name="TIPO DE SOLICITUD" dataDxfId="9" totalsRowDxfId="8"/>
    <tableColumn id="6" name="MEDIO DE SOLICITUD" dataDxfId="7" totalsRowDxfId="6"/>
    <tableColumn id="8" name="CUMPLIDO" dataDxfId="5" totalsRowDxfId="4"/>
    <tableColumn id="9" name="FECHA ATENCIÓN" dataDxfId="3" totalsRowDxfId="2"/>
    <tableColumn id="10" name="OBSERVACIONES" dataDxfId="1" totalsRowDxfId="0"/>
  </tableColumns>
  <tableStyleInfo name="TableStyleLight8"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101"/>
  <sheetViews>
    <sheetView tabSelected="1" zoomScaleNormal="100" workbookViewId="0">
      <selection activeCell="C5" sqref="C5:J5"/>
    </sheetView>
  </sheetViews>
  <sheetFormatPr baseColWidth="10" defaultRowHeight="12.75" x14ac:dyDescent="0.2"/>
  <cols>
    <col min="1" max="1" width="32" style="46" customWidth="1"/>
    <col min="2" max="2" width="12.140625" style="69" bestFit="1" customWidth="1"/>
    <col min="3" max="3" width="12.140625" style="46" customWidth="1"/>
    <col min="4" max="4" width="15.42578125" style="46" bestFit="1" customWidth="1"/>
    <col min="5" max="5" width="14.7109375" style="46" customWidth="1"/>
    <col min="6" max="6" width="15.140625" style="46" customWidth="1"/>
    <col min="7" max="7" width="10.85546875" style="46" customWidth="1"/>
    <col min="8" max="8" width="10.5703125" style="46" customWidth="1"/>
    <col min="9" max="9" width="56.140625" style="46" customWidth="1"/>
    <col min="10" max="10" width="0.140625" style="46" customWidth="1"/>
    <col min="11" max="11" width="26.42578125" style="46" customWidth="1"/>
    <col min="12" max="16384" width="11.42578125" style="46"/>
  </cols>
  <sheetData>
    <row r="1" spans="1:10" x14ac:dyDescent="0.2">
      <c r="A1" s="75" t="s">
        <v>9</v>
      </c>
      <c r="B1" s="75"/>
      <c r="C1" s="75"/>
      <c r="D1" s="75"/>
      <c r="E1" s="75"/>
      <c r="F1" s="75"/>
      <c r="G1" s="75"/>
      <c r="H1" s="75"/>
      <c r="I1" s="75"/>
      <c r="J1" s="75"/>
    </row>
    <row r="2" spans="1:10" x14ac:dyDescent="0.2">
      <c r="A2" s="75" t="s">
        <v>10</v>
      </c>
      <c r="B2" s="75"/>
      <c r="C2" s="76" t="s">
        <v>270</v>
      </c>
      <c r="D2" s="76"/>
      <c r="E2" s="76"/>
      <c r="F2" s="76"/>
      <c r="G2" s="76"/>
      <c r="H2" s="76"/>
      <c r="I2" s="76"/>
      <c r="J2" s="76"/>
    </row>
    <row r="3" spans="1:10" ht="26.25" customHeight="1" x14ac:dyDescent="0.2">
      <c r="A3" s="75" t="s">
        <v>11</v>
      </c>
      <c r="B3" s="75"/>
      <c r="C3" s="77" t="s">
        <v>75</v>
      </c>
      <c r="D3" s="77"/>
      <c r="E3" s="77"/>
      <c r="F3" s="77"/>
      <c r="G3" s="77"/>
      <c r="H3" s="77"/>
      <c r="I3" s="77"/>
      <c r="J3" s="77"/>
    </row>
    <row r="4" spans="1:10" x14ac:dyDescent="0.2">
      <c r="A4" s="75" t="s">
        <v>12</v>
      </c>
      <c r="B4" s="75"/>
      <c r="C4" s="76" t="s">
        <v>76</v>
      </c>
      <c r="D4" s="76"/>
      <c r="E4" s="76"/>
      <c r="F4" s="76"/>
      <c r="G4" s="76"/>
      <c r="H4" s="76"/>
      <c r="I4" s="76"/>
      <c r="J4" s="76"/>
    </row>
    <row r="5" spans="1:10" x14ac:dyDescent="0.2">
      <c r="A5" s="75" t="s">
        <v>13</v>
      </c>
      <c r="B5" s="75"/>
      <c r="C5" s="80" t="s">
        <v>78</v>
      </c>
      <c r="D5" s="80"/>
      <c r="E5" s="80"/>
      <c r="F5" s="80"/>
      <c r="G5" s="80"/>
      <c r="H5" s="80"/>
      <c r="I5" s="80"/>
      <c r="J5" s="80"/>
    </row>
    <row r="6" spans="1:10" x14ac:dyDescent="0.2">
      <c r="A6" s="75" t="s">
        <v>14</v>
      </c>
      <c r="B6" s="75"/>
      <c r="C6" s="76" t="s">
        <v>272</v>
      </c>
      <c r="D6" s="76"/>
      <c r="E6" s="76"/>
      <c r="F6" s="76"/>
      <c r="G6" s="76"/>
      <c r="H6" s="76"/>
      <c r="I6" s="76"/>
      <c r="J6" s="76"/>
    </row>
    <row r="7" spans="1:10" ht="25.5" x14ac:dyDescent="0.2">
      <c r="A7" s="47" t="s">
        <v>5</v>
      </c>
      <c r="B7" s="48" t="s">
        <v>0</v>
      </c>
      <c r="C7" s="49" t="s">
        <v>1</v>
      </c>
      <c r="D7" s="50" t="s">
        <v>2</v>
      </c>
      <c r="E7" s="50" t="s">
        <v>3</v>
      </c>
      <c r="F7" s="47" t="s">
        <v>4</v>
      </c>
      <c r="G7" s="47" t="s">
        <v>6</v>
      </c>
      <c r="H7" s="47" t="s">
        <v>7</v>
      </c>
      <c r="I7" s="50" t="s">
        <v>8</v>
      </c>
    </row>
    <row r="8" spans="1:10" s="52" customFormat="1" ht="102" x14ac:dyDescent="0.25">
      <c r="A8" s="51" t="s">
        <v>153</v>
      </c>
      <c r="B8" s="51" t="s">
        <v>154</v>
      </c>
      <c r="C8" s="51" t="s">
        <v>41</v>
      </c>
      <c r="D8" s="51" t="s">
        <v>155</v>
      </c>
      <c r="E8" s="51" t="s">
        <v>156</v>
      </c>
      <c r="F8" s="51" t="s">
        <v>157</v>
      </c>
      <c r="G8" s="51" t="s">
        <v>158</v>
      </c>
      <c r="H8" s="51" t="s">
        <v>154</v>
      </c>
      <c r="I8" s="51" t="s">
        <v>159</v>
      </c>
    </row>
    <row r="9" spans="1:10" s="52" customFormat="1" ht="102" x14ac:dyDescent="0.25">
      <c r="A9" s="51" t="s">
        <v>153</v>
      </c>
      <c r="B9" s="51" t="s">
        <v>154</v>
      </c>
      <c r="C9" s="51" t="s">
        <v>47</v>
      </c>
      <c r="D9" s="51" t="s">
        <v>48</v>
      </c>
      <c r="E9" s="51" t="s">
        <v>34</v>
      </c>
      <c r="F9" s="51" t="s">
        <v>157</v>
      </c>
      <c r="G9" s="51" t="s">
        <v>158</v>
      </c>
      <c r="H9" s="51" t="s">
        <v>154</v>
      </c>
      <c r="I9" s="51" t="s">
        <v>160</v>
      </c>
    </row>
    <row r="10" spans="1:10" s="52" customFormat="1" ht="102" x14ac:dyDescent="0.25">
      <c r="A10" s="51" t="s">
        <v>153</v>
      </c>
      <c r="B10" s="51" t="s">
        <v>161</v>
      </c>
      <c r="C10" s="51" t="s">
        <v>162</v>
      </c>
      <c r="D10" s="51" t="s">
        <v>163</v>
      </c>
      <c r="E10" s="51" t="s">
        <v>26</v>
      </c>
      <c r="F10" s="51" t="s">
        <v>24</v>
      </c>
      <c r="G10" s="51" t="s">
        <v>158</v>
      </c>
      <c r="H10" s="51" t="s">
        <v>161</v>
      </c>
      <c r="I10" s="51" t="s">
        <v>164</v>
      </c>
    </row>
    <row r="11" spans="1:10" s="52" customFormat="1" ht="102" x14ac:dyDescent="0.25">
      <c r="A11" s="51" t="s">
        <v>153</v>
      </c>
      <c r="B11" s="51" t="s">
        <v>165</v>
      </c>
      <c r="C11" s="51" t="s">
        <v>166</v>
      </c>
      <c r="D11" s="51" t="s">
        <v>167</v>
      </c>
      <c r="E11" s="51" t="s">
        <v>34</v>
      </c>
      <c r="F11" s="51" t="s">
        <v>24</v>
      </c>
      <c r="G11" s="51" t="s">
        <v>158</v>
      </c>
      <c r="H11" s="51" t="s">
        <v>165</v>
      </c>
      <c r="I11" s="51" t="s">
        <v>168</v>
      </c>
    </row>
    <row r="12" spans="1:10" s="52" customFormat="1" ht="102" x14ac:dyDescent="0.25">
      <c r="A12" s="51" t="s">
        <v>153</v>
      </c>
      <c r="B12" s="51" t="s">
        <v>165</v>
      </c>
      <c r="C12" s="51" t="s">
        <v>166</v>
      </c>
      <c r="D12" s="51" t="s">
        <v>169</v>
      </c>
      <c r="E12" s="51" t="s">
        <v>34</v>
      </c>
      <c r="F12" s="51" t="s">
        <v>24</v>
      </c>
      <c r="G12" s="51" t="s">
        <v>158</v>
      </c>
      <c r="H12" s="51" t="s">
        <v>165</v>
      </c>
      <c r="I12" s="51" t="s">
        <v>170</v>
      </c>
    </row>
    <row r="13" spans="1:10" s="52" customFormat="1" ht="102" x14ac:dyDescent="0.25">
      <c r="A13" s="51" t="s">
        <v>153</v>
      </c>
      <c r="B13" s="51" t="s">
        <v>171</v>
      </c>
      <c r="C13" s="51" t="s">
        <v>172</v>
      </c>
      <c r="D13" s="51" t="s">
        <v>173</v>
      </c>
      <c r="E13" s="51" t="s">
        <v>156</v>
      </c>
      <c r="F13" s="51" t="s">
        <v>24</v>
      </c>
      <c r="G13" s="51" t="s">
        <v>158</v>
      </c>
      <c r="H13" s="51" t="s">
        <v>171</v>
      </c>
      <c r="I13" s="51" t="s">
        <v>174</v>
      </c>
    </row>
    <row r="14" spans="1:10" s="52" customFormat="1" ht="102" x14ac:dyDescent="0.25">
      <c r="A14" s="51" t="s">
        <v>153</v>
      </c>
      <c r="B14" s="51" t="s">
        <v>171</v>
      </c>
      <c r="C14" s="51" t="s">
        <v>175</v>
      </c>
      <c r="D14" s="51" t="s">
        <v>59</v>
      </c>
      <c r="E14" s="51" t="s">
        <v>26</v>
      </c>
      <c r="F14" s="51" t="s">
        <v>24</v>
      </c>
      <c r="G14" s="51" t="s">
        <v>158</v>
      </c>
      <c r="H14" s="51" t="s">
        <v>171</v>
      </c>
      <c r="I14" s="51" t="s">
        <v>176</v>
      </c>
    </row>
    <row r="15" spans="1:10" s="52" customFormat="1" ht="102" x14ac:dyDescent="0.25">
      <c r="A15" s="51" t="s">
        <v>153</v>
      </c>
      <c r="B15" s="51" t="s">
        <v>177</v>
      </c>
      <c r="C15" s="51" t="s">
        <v>175</v>
      </c>
      <c r="D15" s="51" t="s">
        <v>178</v>
      </c>
      <c r="E15" s="51" t="s">
        <v>26</v>
      </c>
      <c r="F15" s="51" t="s">
        <v>24</v>
      </c>
      <c r="G15" s="51" t="s">
        <v>158</v>
      </c>
      <c r="H15" s="51" t="s">
        <v>177</v>
      </c>
      <c r="I15" s="51" t="s">
        <v>176</v>
      </c>
    </row>
    <row r="16" spans="1:10" s="52" customFormat="1" ht="102" x14ac:dyDescent="0.25">
      <c r="A16" s="51" t="s">
        <v>153</v>
      </c>
      <c r="B16" s="51" t="s">
        <v>177</v>
      </c>
      <c r="C16" s="51" t="s">
        <v>175</v>
      </c>
      <c r="D16" s="51" t="s">
        <v>40</v>
      </c>
      <c r="E16" s="51" t="s">
        <v>26</v>
      </c>
      <c r="F16" s="51" t="s">
        <v>24</v>
      </c>
      <c r="G16" s="51" t="s">
        <v>158</v>
      </c>
      <c r="H16" s="51" t="s">
        <v>177</v>
      </c>
      <c r="I16" s="51" t="s">
        <v>176</v>
      </c>
    </row>
    <row r="17" spans="1:10" s="52" customFormat="1" ht="102" x14ac:dyDescent="0.25">
      <c r="A17" s="51" t="s">
        <v>153</v>
      </c>
      <c r="B17" s="51" t="s">
        <v>177</v>
      </c>
      <c r="C17" s="51" t="s">
        <v>179</v>
      </c>
      <c r="D17" s="51" t="s">
        <v>63</v>
      </c>
      <c r="E17" s="51" t="s">
        <v>26</v>
      </c>
      <c r="F17" s="51" t="s">
        <v>24</v>
      </c>
      <c r="G17" s="51" t="s">
        <v>158</v>
      </c>
      <c r="H17" s="51" t="s">
        <v>177</v>
      </c>
      <c r="I17" s="51" t="s">
        <v>176</v>
      </c>
    </row>
    <row r="18" spans="1:10" s="52" customFormat="1" ht="102" x14ac:dyDescent="0.25">
      <c r="A18" s="51" t="s">
        <v>153</v>
      </c>
      <c r="B18" s="51" t="s">
        <v>177</v>
      </c>
      <c r="C18" s="51" t="s">
        <v>179</v>
      </c>
      <c r="D18" s="51" t="s">
        <v>180</v>
      </c>
      <c r="E18" s="51" t="s">
        <v>26</v>
      </c>
      <c r="F18" s="51" t="s">
        <v>24</v>
      </c>
      <c r="G18" s="51" t="s">
        <v>158</v>
      </c>
      <c r="H18" s="51" t="s">
        <v>177</v>
      </c>
      <c r="I18" s="51" t="s">
        <v>176</v>
      </c>
    </row>
    <row r="19" spans="1:10" s="52" customFormat="1" ht="102" x14ac:dyDescent="0.25">
      <c r="A19" s="51" t="s">
        <v>153</v>
      </c>
      <c r="B19" s="51" t="s">
        <v>181</v>
      </c>
      <c r="C19" s="51" t="s">
        <v>22</v>
      </c>
      <c r="D19" s="51" t="s">
        <v>49</v>
      </c>
      <c r="E19" s="51" t="s">
        <v>26</v>
      </c>
      <c r="F19" s="51" t="s">
        <v>24</v>
      </c>
      <c r="G19" s="51" t="s">
        <v>158</v>
      </c>
      <c r="H19" s="51" t="s">
        <v>181</v>
      </c>
      <c r="I19" s="51" t="s">
        <v>182</v>
      </c>
    </row>
    <row r="20" spans="1:10" s="52" customFormat="1" ht="102" x14ac:dyDescent="0.25">
      <c r="A20" s="51" t="s">
        <v>153</v>
      </c>
      <c r="B20" s="51" t="s">
        <v>183</v>
      </c>
      <c r="C20" s="51" t="s">
        <v>60</v>
      </c>
      <c r="D20" s="51" t="s">
        <v>184</v>
      </c>
      <c r="E20" s="51" t="s">
        <v>26</v>
      </c>
      <c r="F20" s="51" t="s">
        <v>157</v>
      </c>
      <c r="G20" s="51" t="s">
        <v>158</v>
      </c>
      <c r="H20" s="51" t="s">
        <v>183</v>
      </c>
      <c r="I20" s="51" t="s">
        <v>185</v>
      </c>
    </row>
    <row r="21" spans="1:10" s="52" customFormat="1" ht="102" x14ac:dyDescent="0.25">
      <c r="A21" s="51" t="s">
        <v>153</v>
      </c>
      <c r="B21" s="51" t="s">
        <v>183</v>
      </c>
      <c r="C21" s="51" t="s">
        <v>186</v>
      </c>
      <c r="D21" s="51" t="s">
        <v>187</v>
      </c>
      <c r="E21" s="51" t="s">
        <v>26</v>
      </c>
      <c r="F21" s="51" t="s">
        <v>157</v>
      </c>
      <c r="G21" s="51" t="s">
        <v>158</v>
      </c>
      <c r="H21" s="51" t="s">
        <v>183</v>
      </c>
      <c r="I21" s="51" t="s">
        <v>188</v>
      </c>
    </row>
    <row r="22" spans="1:10" s="52" customFormat="1" ht="102" x14ac:dyDescent="0.25">
      <c r="A22" s="51" t="s">
        <v>153</v>
      </c>
      <c r="B22" s="51" t="s">
        <v>189</v>
      </c>
      <c r="C22" s="51" t="s">
        <v>30</v>
      </c>
      <c r="D22" s="51" t="s">
        <v>190</v>
      </c>
      <c r="E22" s="51" t="s">
        <v>156</v>
      </c>
      <c r="F22" s="51" t="s">
        <v>24</v>
      </c>
      <c r="G22" s="51" t="s">
        <v>158</v>
      </c>
      <c r="H22" s="51" t="s">
        <v>189</v>
      </c>
      <c r="I22" s="51" t="s">
        <v>191</v>
      </c>
    </row>
    <row r="23" spans="1:10" s="52" customFormat="1" ht="102" x14ac:dyDescent="0.25">
      <c r="A23" s="51" t="s">
        <v>153</v>
      </c>
      <c r="B23" s="51" t="s">
        <v>189</v>
      </c>
      <c r="C23" s="51" t="s">
        <v>162</v>
      </c>
      <c r="D23" s="51" t="s">
        <v>192</v>
      </c>
      <c r="E23" s="51" t="s">
        <v>26</v>
      </c>
      <c r="F23" s="51" t="s">
        <v>157</v>
      </c>
      <c r="G23" s="51" t="s">
        <v>158</v>
      </c>
      <c r="H23" s="51" t="s">
        <v>189</v>
      </c>
      <c r="I23" s="51" t="s">
        <v>193</v>
      </c>
    </row>
    <row r="24" spans="1:10" s="52" customFormat="1" ht="102" x14ac:dyDescent="0.25">
      <c r="A24" s="51" t="s">
        <v>153</v>
      </c>
      <c r="B24" s="51" t="s">
        <v>189</v>
      </c>
      <c r="C24" s="51" t="s">
        <v>194</v>
      </c>
      <c r="D24" s="51" t="s">
        <v>195</v>
      </c>
      <c r="E24" s="51" t="s">
        <v>26</v>
      </c>
      <c r="F24" s="51" t="s">
        <v>24</v>
      </c>
      <c r="G24" s="51" t="s">
        <v>158</v>
      </c>
      <c r="H24" s="51" t="s">
        <v>189</v>
      </c>
      <c r="I24" s="51" t="s">
        <v>193</v>
      </c>
    </row>
    <row r="25" spans="1:10" s="52" customFormat="1" ht="102" x14ac:dyDescent="0.25">
      <c r="A25" s="51" t="s">
        <v>153</v>
      </c>
      <c r="B25" s="51" t="s">
        <v>189</v>
      </c>
      <c r="C25" s="51" t="s">
        <v>194</v>
      </c>
      <c r="D25" s="51" t="s">
        <v>196</v>
      </c>
      <c r="E25" s="51" t="s">
        <v>26</v>
      </c>
      <c r="F25" s="51" t="s">
        <v>24</v>
      </c>
      <c r="G25" s="51" t="s">
        <v>158</v>
      </c>
      <c r="H25" s="51" t="s">
        <v>189</v>
      </c>
      <c r="I25" s="51" t="s">
        <v>193</v>
      </c>
    </row>
    <row r="26" spans="1:10" x14ac:dyDescent="0.2">
      <c r="A26" s="71" t="s">
        <v>197</v>
      </c>
      <c r="B26" s="64"/>
      <c r="C26" s="55"/>
      <c r="D26" s="55"/>
      <c r="E26" s="72"/>
      <c r="F26" s="56"/>
      <c r="G26" s="57"/>
      <c r="H26" s="64"/>
      <c r="I26" s="55"/>
      <c r="J26" s="60"/>
    </row>
    <row r="27" spans="1:10" ht="102" x14ac:dyDescent="0.2">
      <c r="A27" s="51" t="s">
        <v>198</v>
      </c>
      <c r="B27" s="51" t="s">
        <v>154</v>
      </c>
      <c r="C27" s="51" t="s">
        <v>41</v>
      </c>
      <c r="D27" s="51" t="s">
        <v>155</v>
      </c>
      <c r="E27" s="51" t="s">
        <v>26</v>
      </c>
      <c r="F27" s="51" t="s">
        <v>24</v>
      </c>
      <c r="G27" s="51" t="s">
        <v>158</v>
      </c>
      <c r="H27" s="51" t="s">
        <v>154</v>
      </c>
      <c r="I27" s="51" t="s">
        <v>199</v>
      </c>
    </row>
    <row r="28" spans="1:10" ht="102" x14ac:dyDescent="0.2">
      <c r="A28" s="51" t="s">
        <v>198</v>
      </c>
      <c r="B28" s="51" t="s">
        <v>161</v>
      </c>
      <c r="C28" s="51" t="s">
        <v>162</v>
      </c>
      <c r="D28" s="51" t="s">
        <v>195</v>
      </c>
      <c r="E28" s="51" t="s">
        <v>26</v>
      </c>
      <c r="F28" s="51" t="s">
        <v>24</v>
      </c>
      <c r="G28" s="51" t="s">
        <v>158</v>
      </c>
      <c r="H28" s="51" t="s">
        <v>161</v>
      </c>
      <c r="I28" s="51" t="s">
        <v>200</v>
      </c>
    </row>
    <row r="29" spans="1:10" ht="102" x14ac:dyDescent="0.2">
      <c r="A29" s="51" t="s">
        <v>198</v>
      </c>
      <c r="B29" s="51" t="s">
        <v>161</v>
      </c>
      <c r="C29" s="51" t="s">
        <v>162</v>
      </c>
      <c r="D29" s="51" t="s">
        <v>195</v>
      </c>
      <c r="E29" s="51" t="s">
        <v>26</v>
      </c>
      <c r="F29" s="51" t="s">
        <v>24</v>
      </c>
      <c r="G29" s="51" t="s">
        <v>158</v>
      </c>
      <c r="H29" s="51" t="s">
        <v>161</v>
      </c>
      <c r="I29" s="51" t="s">
        <v>201</v>
      </c>
    </row>
    <row r="30" spans="1:10" ht="102" x14ac:dyDescent="0.2">
      <c r="A30" s="51" t="s">
        <v>198</v>
      </c>
      <c r="B30" s="51" t="s">
        <v>202</v>
      </c>
      <c r="C30" s="51" t="s">
        <v>22</v>
      </c>
      <c r="D30" s="51" t="s">
        <v>42</v>
      </c>
      <c r="E30" s="51" t="s">
        <v>26</v>
      </c>
      <c r="F30" s="51" t="s">
        <v>24</v>
      </c>
      <c r="G30" s="51" t="s">
        <v>158</v>
      </c>
      <c r="H30" s="51" t="s">
        <v>202</v>
      </c>
      <c r="I30" s="51" t="s">
        <v>203</v>
      </c>
    </row>
    <row r="31" spans="1:10" x14ac:dyDescent="0.2">
      <c r="A31" s="53" t="s">
        <v>204</v>
      </c>
      <c r="B31" s="54"/>
      <c r="C31" s="55"/>
      <c r="D31" s="55"/>
      <c r="E31" s="55"/>
      <c r="F31" s="56"/>
      <c r="G31" s="57"/>
      <c r="H31" s="58"/>
      <c r="I31" s="59"/>
      <c r="J31" s="60"/>
    </row>
    <row r="32" spans="1:10" ht="114.75" x14ac:dyDescent="0.2">
      <c r="A32" s="51" t="s">
        <v>205</v>
      </c>
      <c r="B32" s="51" t="s">
        <v>161</v>
      </c>
      <c r="C32" s="51" t="s">
        <v>162</v>
      </c>
      <c r="D32" s="51" t="s">
        <v>195</v>
      </c>
      <c r="E32" s="51" t="s">
        <v>26</v>
      </c>
      <c r="F32" s="51" t="s">
        <v>24</v>
      </c>
      <c r="G32" s="51" t="s">
        <v>158</v>
      </c>
      <c r="H32" s="51" t="s">
        <v>161</v>
      </c>
      <c r="I32" s="51" t="s">
        <v>206</v>
      </c>
    </row>
    <row r="33" spans="1:10" ht="114.75" x14ac:dyDescent="0.2">
      <c r="A33" s="51" t="s">
        <v>205</v>
      </c>
      <c r="B33" s="51" t="s">
        <v>161</v>
      </c>
      <c r="C33" s="51" t="s">
        <v>162</v>
      </c>
      <c r="D33" s="51" t="s">
        <v>196</v>
      </c>
      <c r="E33" s="51" t="s">
        <v>26</v>
      </c>
      <c r="F33" s="51" t="s">
        <v>24</v>
      </c>
      <c r="G33" s="51" t="s">
        <v>158</v>
      </c>
      <c r="H33" s="51" t="s">
        <v>161</v>
      </c>
      <c r="I33" s="51" t="s">
        <v>207</v>
      </c>
    </row>
    <row r="34" spans="1:10" ht="114.75" x14ac:dyDescent="0.2">
      <c r="A34" s="51" t="s">
        <v>205</v>
      </c>
      <c r="B34" s="51" t="s">
        <v>181</v>
      </c>
      <c r="C34" s="51" t="s">
        <v>208</v>
      </c>
      <c r="D34" s="51" t="s">
        <v>209</v>
      </c>
      <c r="E34" s="51" t="s">
        <v>156</v>
      </c>
      <c r="F34" s="51" t="s">
        <v>24</v>
      </c>
      <c r="G34" s="51" t="s">
        <v>158</v>
      </c>
      <c r="H34" s="51" t="s">
        <v>181</v>
      </c>
      <c r="I34" s="51" t="s">
        <v>210</v>
      </c>
    </row>
    <row r="35" spans="1:10" x14ac:dyDescent="0.2">
      <c r="A35" s="53" t="s">
        <v>211</v>
      </c>
      <c r="B35" s="54"/>
      <c r="C35" s="55"/>
      <c r="D35" s="55"/>
      <c r="E35" s="55"/>
      <c r="F35" s="56"/>
      <c r="G35" s="57"/>
      <c r="H35" s="58"/>
      <c r="I35" s="59"/>
      <c r="J35" s="60"/>
    </row>
    <row r="36" spans="1:10" ht="102" x14ac:dyDescent="0.2">
      <c r="A36" s="51" t="s">
        <v>212</v>
      </c>
      <c r="B36" s="51" t="s">
        <v>202</v>
      </c>
      <c r="C36" s="51" t="s">
        <v>33</v>
      </c>
      <c r="D36" s="51" t="s">
        <v>213</v>
      </c>
      <c r="E36" s="51" t="s">
        <v>156</v>
      </c>
      <c r="F36" s="51" t="s">
        <v>157</v>
      </c>
      <c r="G36" s="51" t="s">
        <v>158</v>
      </c>
      <c r="H36" s="51" t="s">
        <v>202</v>
      </c>
      <c r="I36" s="51" t="s">
        <v>214</v>
      </c>
    </row>
    <row r="37" spans="1:10" ht="102" x14ac:dyDescent="0.2">
      <c r="A37" s="51" t="s">
        <v>212</v>
      </c>
      <c r="B37" s="51" t="s">
        <v>165</v>
      </c>
      <c r="C37" s="51" t="s">
        <v>166</v>
      </c>
      <c r="D37" s="51" t="s">
        <v>167</v>
      </c>
      <c r="E37" s="51" t="s">
        <v>156</v>
      </c>
      <c r="F37" s="51" t="s">
        <v>24</v>
      </c>
      <c r="G37" s="51" t="s">
        <v>158</v>
      </c>
      <c r="H37" s="51" t="s">
        <v>165</v>
      </c>
      <c r="I37" s="51" t="s">
        <v>215</v>
      </c>
    </row>
    <row r="38" spans="1:10" ht="102" x14ac:dyDescent="0.2">
      <c r="A38" s="51" t="s">
        <v>212</v>
      </c>
      <c r="B38" s="51" t="s">
        <v>189</v>
      </c>
      <c r="C38" s="51" t="s">
        <v>166</v>
      </c>
      <c r="D38" s="51" t="s">
        <v>167</v>
      </c>
      <c r="E38" s="51" t="s">
        <v>156</v>
      </c>
      <c r="F38" s="51" t="s">
        <v>24</v>
      </c>
      <c r="G38" s="51" t="s">
        <v>158</v>
      </c>
      <c r="H38" s="51" t="s">
        <v>189</v>
      </c>
      <c r="I38" s="51" t="s">
        <v>216</v>
      </c>
    </row>
    <row r="39" spans="1:10" x14ac:dyDescent="0.2">
      <c r="A39" s="70" t="s">
        <v>217</v>
      </c>
      <c r="B39" s="54"/>
      <c r="C39" s="55"/>
      <c r="D39" s="55"/>
      <c r="E39" s="55"/>
      <c r="F39" s="56"/>
      <c r="G39" s="57"/>
      <c r="H39" s="58"/>
      <c r="I39" s="59"/>
      <c r="J39" s="60"/>
    </row>
    <row r="40" spans="1:10" ht="76.5" x14ac:dyDescent="0.2">
      <c r="A40" s="51" t="s">
        <v>218</v>
      </c>
      <c r="B40" s="51" t="s">
        <v>202</v>
      </c>
      <c r="C40" s="51" t="s">
        <v>219</v>
      </c>
      <c r="D40" s="51" t="s">
        <v>220</v>
      </c>
      <c r="E40" s="51" t="s">
        <v>156</v>
      </c>
      <c r="F40" s="51" t="s">
        <v>24</v>
      </c>
      <c r="G40" s="51" t="s">
        <v>158</v>
      </c>
      <c r="H40" s="51" t="s">
        <v>202</v>
      </c>
      <c r="I40" s="51" t="s">
        <v>221</v>
      </c>
    </row>
    <row r="41" spans="1:10" ht="76.5" x14ac:dyDescent="0.2">
      <c r="A41" s="51" t="s">
        <v>218</v>
      </c>
      <c r="B41" s="51" t="s">
        <v>165</v>
      </c>
      <c r="C41" s="51" t="s">
        <v>222</v>
      </c>
      <c r="D41" s="51" t="s">
        <v>223</v>
      </c>
      <c r="E41" s="51" t="s">
        <v>156</v>
      </c>
      <c r="F41" s="51" t="s">
        <v>24</v>
      </c>
      <c r="G41" s="51" t="s">
        <v>158</v>
      </c>
      <c r="H41" s="51" t="s">
        <v>165</v>
      </c>
      <c r="I41" s="51" t="s">
        <v>224</v>
      </c>
    </row>
    <row r="42" spans="1:10" ht="76.5" x14ac:dyDescent="0.2">
      <c r="A42" s="51" t="s">
        <v>218</v>
      </c>
      <c r="B42" s="51" t="s">
        <v>181</v>
      </c>
      <c r="C42" s="51" t="s">
        <v>81</v>
      </c>
      <c r="D42" s="51" t="s">
        <v>225</v>
      </c>
      <c r="E42" s="51" t="s">
        <v>226</v>
      </c>
      <c r="F42" s="51" t="s">
        <v>70</v>
      </c>
      <c r="G42" s="51" t="s">
        <v>158</v>
      </c>
      <c r="H42" s="51" t="s">
        <v>181</v>
      </c>
      <c r="I42" s="51" t="s">
        <v>227</v>
      </c>
    </row>
    <row r="43" spans="1:10" ht="76.5" x14ac:dyDescent="0.2">
      <c r="A43" s="51" t="s">
        <v>218</v>
      </c>
      <c r="B43" s="51" t="s">
        <v>183</v>
      </c>
      <c r="C43" s="51" t="s">
        <v>166</v>
      </c>
      <c r="D43" s="51" t="s">
        <v>167</v>
      </c>
      <c r="E43" s="51" t="s">
        <v>26</v>
      </c>
      <c r="F43" s="51" t="s">
        <v>24</v>
      </c>
      <c r="G43" s="51" t="s">
        <v>158</v>
      </c>
      <c r="H43" s="51" t="s">
        <v>183</v>
      </c>
      <c r="I43" s="51" t="s">
        <v>228</v>
      </c>
    </row>
    <row r="44" spans="1:10" ht="76.5" x14ac:dyDescent="0.2">
      <c r="A44" s="51" t="s">
        <v>218</v>
      </c>
      <c r="B44" s="51" t="s">
        <v>183</v>
      </c>
      <c r="C44" s="51" t="s">
        <v>81</v>
      </c>
      <c r="D44" s="51" t="s">
        <v>225</v>
      </c>
      <c r="E44" s="51" t="s">
        <v>34</v>
      </c>
      <c r="F44" s="51" t="s">
        <v>70</v>
      </c>
      <c r="G44" s="51" t="s">
        <v>158</v>
      </c>
      <c r="H44" s="51" t="s">
        <v>183</v>
      </c>
      <c r="I44" s="51" t="s">
        <v>227</v>
      </c>
    </row>
    <row r="45" spans="1:10" x14ac:dyDescent="0.2">
      <c r="A45" s="53" t="s">
        <v>229</v>
      </c>
      <c r="B45" s="54"/>
      <c r="C45" s="55"/>
      <c r="D45" s="55"/>
      <c r="E45" s="55"/>
      <c r="F45" s="56"/>
      <c r="G45" s="57"/>
      <c r="H45" s="58"/>
      <c r="I45" s="59"/>
      <c r="J45" s="60"/>
    </row>
    <row r="46" spans="1:10" ht="89.25" x14ac:dyDescent="0.2">
      <c r="A46" s="51" t="s">
        <v>230</v>
      </c>
      <c r="B46" s="51" t="s">
        <v>231</v>
      </c>
      <c r="C46" s="51" t="s">
        <v>30</v>
      </c>
      <c r="D46" s="51" t="s">
        <v>45</v>
      </c>
      <c r="E46" s="51" t="s">
        <v>34</v>
      </c>
      <c r="F46" s="51" t="s">
        <v>24</v>
      </c>
      <c r="G46" s="51" t="s">
        <v>158</v>
      </c>
      <c r="H46" s="51" t="s">
        <v>231</v>
      </c>
      <c r="I46" s="51" t="s">
        <v>232</v>
      </c>
    </row>
    <row r="47" spans="1:10" ht="89.25" x14ac:dyDescent="0.2">
      <c r="A47" s="51" t="s">
        <v>230</v>
      </c>
      <c r="B47" s="51" t="s">
        <v>233</v>
      </c>
      <c r="C47" s="51" t="s">
        <v>30</v>
      </c>
      <c r="D47" s="51" t="s">
        <v>45</v>
      </c>
      <c r="E47" s="51" t="s">
        <v>156</v>
      </c>
      <c r="F47" s="51" t="s">
        <v>24</v>
      </c>
      <c r="G47" s="51" t="s">
        <v>158</v>
      </c>
      <c r="H47" s="51" t="s">
        <v>233</v>
      </c>
      <c r="I47" s="51" t="s">
        <v>234</v>
      </c>
    </row>
    <row r="48" spans="1:10" ht="89.25" x14ac:dyDescent="0.2">
      <c r="A48" s="51" t="s">
        <v>230</v>
      </c>
      <c r="B48" s="51" t="s">
        <v>183</v>
      </c>
      <c r="C48" s="51" t="s">
        <v>30</v>
      </c>
      <c r="D48" s="51" t="s">
        <v>45</v>
      </c>
      <c r="E48" s="51" t="s">
        <v>156</v>
      </c>
      <c r="F48" s="51" t="s">
        <v>24</v>
      </c>
      <c r="G48" s="51" t="s">
        <v>158</v>
      </c>
      <c r="H48" s="51" t="s">
        <v>183</v>
      </c>
      <c r="I48" s="51" t="s">
        <v>235</v>
      </c>
    </row>
    <row r="49" spans="1:10" ht="89.25" x14ac:dyDescent="0.2">
      <c r="A49" s="51" t="s">
        <v>230</v>
      </c>
      <c r="B49" s="51" t="s">
        <v>183</v>
      </c>
      <c r="C49" s="51" t="s">
        <v>81</v>
      </c>
      <c r="D49" s="51" t="s">
        <v>225</v>
      </c>
      <c r="E49" s="51" t="s">
        <v>34</v>
      </c>
      <c r="F49" s="51" t="s">
        <v>70</v>
      </c>
      <c r="G49" s="51" t="s">
        <v>158</v>
      </c>
      <c r="H49" s="51" t="s">
        <v>183</v>
      </c>
      <c r="I49" s="51" t="s">
        <v>227</v>
      </c>
    </row>
    <row r="50" spans="1:10" ht="89.25" x14ac:dyDescent="0.2">
      <c r="A50" s="51" t="s">
        <v>230</v>
      </c>
      <c r="B50" s="51" t="s">
        <v>189</v>
      </c>
      <c r="C50" s="51" t="s">
        <v>166</v>
      </c>
      <c r="D50" s="51" t="s">
        <v>167</v>
      </c>
      <c r="E50" s="51" t="s">
        <v>156</v>
      </c>
      <c r="F50" s="51" t="s">
        <v>24</v>
      </c>
      <c r="G50" s="51" t="s">
        <v>158</v>
      </c>
      <c r="H50" s="51" t="s">
        <v>189</v>
      </c>
      <c r="I50" s="51" t="s">
        <v>216</v>
      </c>
    </row>
    <row r="51" spans="1:10" ht="89.25" x14ac:dyDescent="0.2">
      <c r="A51" s="51" t="s">
        <v>230</v>
      </c>
      <c r="B51" s="51" t="s">
        <v>236</v>
      </c>
      <c r="C51" s="51" t="s">
        <v>30</v>
      </c>
      <c r="D51" s="51" t="s">
        <v>237</v>
      </c>
      <c r="E51" s="51" t="s">
        <v>156</v>
      </c>
      <c r="F51" s="51" t="s">
        <v>157</v>
      </c>
      <c r="G51" s="51" t="s">
        <v>158</v>
      </c>
      <c r="H51" s="51" t="s">
        <v>236</v>
      </c>
      <c r="I51" s="51" t="s">
        <v>238</v>
      </c>
    </row>
    <row r="52" spans="1:10" x14ac:dyDescent="0.2">
      <c r="A52" s="53" t="s">
        <v>239</v>
      </c>
      <c r="B52" s="54"/>
      <c r="C52" s="55"/>
      <c r="D52" s="55"/>
      <c r="E52" s="55"/>
      <c r="F52" s="56"/>
      <c r="G52" s="57"/>
      <c r="H52" s="58"/>
      <c r="I52" s="59"/>
      <c r="J52" s="60"/>
    </row>
    <row r="53" spans="1:10" ht="102" x14ac:dyDescent="0.2">
      <c r="A53" s="61" t="s">
        <v>240</v>
      </c>
      <c r="B53" s="61" t="s">
        <v>241</v>
      </c>
      <c r="C53" s="61" t="s">
        <v>30</v>
      </c>
      <c r="D53" s="61" t="s">
        <v>86</v>
      </c>
      <c r="E53" s="61" t="s">
        <v>156</v>
      </c>
      <c r="F53" s="61" t="s">
        <v>24</v>
      </c>
      <c r="G53" s="61" t="s">
        <v>158</v>
      </c>
      <c r="H53" s="61" t="s">
        <v>241</v>
      </c>
      <c r="I53" s="61" t="s">
        <v>242</v>
      </c>
    </row>
    <row r="54" spans="1:10" ht="102" x14ac:dyDescent="0.2">
      <c r="A54" s="61" t="s">
        <v>240</v>
      </c>
      <c r="B54" s="61" t="s">
        <v>241</v>
      </c>
      <c r="C54" s="61" t="s">
        <v>179</v>
      </c>
      <c r="D54" s="61" t="s">
        <v>243</v>
      </c>
      <c r="E54" s="61" t="s">
        <v>34</v>
      </c>
      <c r="F54" s="61" t="s">
        <v>70</v>
      </c>
      <c r="G54" s="61" t="s">
        <v>158</v>
      </c>
      <c r="H54" s="61" t="s">
        <v>241</v>
      </c>
      <c r="I54" s="61" t="s">
        <v>244</v>
      </c>
    </row>
    <row r="55" spans="1:10" ht="102" x14ac:dyDescent="0.2">
      <c r="A55" s="61" t="s">
        <v>240</v>
      </c>
      <c r="B55" s="61" t="s">
        <v>245</v>
      </c>
      <c r="C55" s="61" t="s">
        <v>179</v>
      </c>
      <c r="D55" s="61" t="s">
        <v>246</v>
      </c>
      <c r="E55" s="61" t="s">
        <v>156</v>
      </c>
      <c r="F55" s="61" t="s">
        <v>24</v>
      </c>
      <c r="G55" s="61" t="s">
        <v>158</v>
      </c>
      <c r="H55" s="61" t="s">
        <v>245</v>
      </c>
      <c r="I55" s="61" t="s">
        <v>247</v>
      </c>
    </row>
    <row r="56" spans="1:10" ht="102" x14ac:dyDescent="0.2">
      <c r="A56" s="61" t="s">
        <v>240</v>
      </c>
      <c r="B56" s="61" t="s">
        <v>248</v>
      </c>
      <c r="C56" s="61" t="s">
        <v>249</v>
      </c>
      <c r="D56" s="61" t="s">
        <v>250</v>
      </c>
      <c r="E56" s="61" t="s">
        <v>156</v>
      </c>
      <c r="F56" s="61" t="s">
        <v>24</v>
      </c>
      <c r="G56" s="61" t="s">
        <v>158</v>
      </c>
      <c r="H56" s="61" t="s">
        <v>248</v>
      </c>
      <c r="I56" s="61" t="s">
        <v>251</v>
      </c>
    </row>
    <row r="57" spans="1:10" ht="102" x14ac:dyDescent="0.2">
      <c r="A57" s="61" t="s">
        <v>240</v>
      </c>
      <c r="B57" s="61" t="s">
        <v>248</v>
      </c>
      <c r="C57" s="61" t="s">
        <v>249</v>
      </c>
      <c r="D57" s="61" t="s">
        <v>252</v>
      </c>
      <c r="E57" s="61" t="s">
        <v>156</v>
      </c>
      <c r="F57" s="61" t="s">
        <v>70</v>
      </c>
      <c r="G57" s="61" t="s">
        <v>158</v>
      </c>
      <c r="H57" s="61" t="s">
        <v>248</v>
      </c>
      <c r="I57" s="61" t="s">
        <v>253</v>
      </c>
    </row>
    <row r="58" spans="1:10" ht="102" x14ac:dyDescent="0.2">
      <c r="A58" s="61" t="s">
        <v>240</v>
      </c>
      <c r="B58" s="61" t="s">
        <v>236</v>
      </c>
      <c r="C58" s="61" t="s">
        <v>249</v>
      </c>
      <c r="D58" s="61" t="s">
        <v>252</v>
      </c>
      <c r="E58" s="61" t="s">
        <v>156</v>
      </c>
      <c r="F58" s="61" t="s">
        <v>24</v>
      </c>
      <c r="G58" s="61" t="s">
        <v>158</v>
      </c>
      <c r="H58" s="61" t="s">
        <v>236</v>
      </c>
      <c r="I58" s="61" t="s">
        <v>254</v>
      </c>
    </row>
    <row r="59" spans="1:10" ht="102" x14ac:dyDescent="0.2">
      <c r="A59" s="61" t="s">
        <v>240</v>
      </c>
      <c r="B59" s="61" t="s">
        <v>236</v>
      </c>
      <c r="C59" s="61" t="s">
        <v>255</v>
      </c>
      <c r="D59" s="61" t="s">
        <v>256</v>
      </c>
      <c r="E59" s="61" t="s">
        <v>156</v>
      </c>
      <c r="F59" s="61" t="s">
        <v>157</v>
      </c>
      <c r="G59" s="61" t="s">
        <v>158</v>
      </c>
      <c r="H59" s="61" t="s">
        <v>236</v>
      </c>
      <c r="I59" s="61" t="s">
        <v>257</v>
      </c>
    </row>
    <row r="60" spans="1:10" ht="102" x14ac:dyDescent="0.2">
      <c r="A60" s="61" t="s">
        <v>240</v>
      </c>
      <c r="B60" s="61" t="s">
        <v>258</v>
      </c>
      <c r="C60" s="61" t="s">
        <v>41</v>
      </c>
      <c r="D60" s="61" t="s">
        <v>196</v>
      </c>
      <c r="E60" s="61" t="s">
        <v>156</v>
      </c>
      <c r="F60" s="61" t="s">
        <v>157</v>
      </c>
      <c r="G60" s="61" t="s">
        <v>158</v>
      </c>
      <c r="H60" s="61" t="s">
        <v>258</v>
      </c>
      <c r="I60" s="61" t="s">
        <v>259</v>
      </c>
    </row>
    <row r="61" spans="1:10" ht="102" x14ac:dyDescent="0.2">
      <c r="A61" s="61" t="s">
        <v>240</v>
      </c>
      <c r="B61" s="61" t="s">
        <v>258</v>
      </c>
      <c r="C61" s="61" t="s">
        <v>44</v>
      </c>
      <c r="D61" s="61" t="s">
        <v>260</v>
      </c>
      <c r="E61" s="61" t="s">
        <v>156</v>
      </c>
      <c r="F61" s="61" t="s">
        <v>70</v>
      </c>
      <c r="G61" s="61" t="s">
        <v>158</v>
      </c>
      <c r="H61" s="61" t="s">
        <v>258</v>
      </c>
      <c r="I61" s="61" t="s">
        <v>261</v>
      </c>
    </row>
    <row r="62" spans="1:10" ht="102" x14ac:dyDescent="0.2">
      <c r="A62" s="61" t="s">
        <v>240</v>
      </c>
      <c r="B62" s="61" t="s">
        <v>258</v>
      </c>
      <c r="C62" s="61" t="s">
        <v>60</v>
      </c>
      <c r="D62" s="61" t="s">
        <v>262</v>
      </c>
      <c r="E62" s="61" t="s">
        <v>156</v>
      </c>
      <c r="F62" s="61" t="s">
        <v>70</v>
      </c>
      <c r="G62" s="61" t="s">
        <v>158</v>
      </c>
      <c r="H62" s="61" t="s">
        <v>258</v>
      </c>
      <c r="I62" s="61" t="s">
        <v>261</v>
      </c>
    </row>
    <row r="63" spans="1:10" x14ac:dyDescent="0.2">
      <c r="A63" s="53" t="s">
        <v>263</v>
      </c>
      <c r="B63" s="54"/>
      <c r="C63" s="55"/>
      <c r="D63" s="55"/>
      <c r="E63" s="55"/>
      <c r="F63" s="56"/>
      <c r="G63" s="57"/>
      <c r="H63" s="58"/>
      <c r="I63" s="59"/>
      <c r="J63" s="60"/>
    </row>
    <row r="64" spans="1:10" ht="114.75" x14ac:dyDescent="0.2">
      <c r="A64" s="51" t="s">
        <v>264</v>
      </c>
      <c r="B64" s="51" t="s">
        <v>233</v>
      </c>
      <c r="C64" s="51" t="s">
        <v>30</v>
      </c>
      <c r="D64" s="51" t="s">
        <v>86</v>
      </c>
      <c r="E64" s="51" t="s">
        <v>34</v>
      </c>
      <c r="F64" s="51" t="s">
        <v>24</v>
      </c>
      <c r="G64" s="51" t="s">
        <v>158</v>
      </c>
      <c r="H64" s="51" t="s">
        <v>233</v>
      </c>
      <c r="I64" s="51" t="s">
        <v>265</v>
      </c>
    </row>
    <row r="65" spans="1:10" ht="114.75" x14ac:dyDescent="0.2">
      <c r="A65" s="51" t="s">
        <v>264</v>
      </c>
      <c r="B65" s="51" t="s">
        <v>233</v>
      </c>
      <c r="C65" s="51" t="s">
        <v>30</v>
      </c>
      <c r="D65" s="51" t="s">
        <v>86</v>
      </c>
      <c r="E65" s="51" t="s">
        <v>34</v>
      </c>
      <c r="F65" s="51" t="s">
        <v>24</v>
      </c>
      <c r="G65" s="51" t="s">
        <v>158</v>
      </c>
      <c r="H65" s="51" t="s">
        <v>233</v>
      </c>
      <c r="I65" s="51" t="s">
        <v>266</v>
      </c>
    </row>
    <row r="66" spans="1:10" ht="114.75" x14ac:dyDescent="0.2">
      <c r="A66" s="51" t="s">
        <v>264</v>
      </c>
      <c r="B66" s="45">
        <f>Tabla2245678912111013141516172[[#This Row],[FECHA ATENCIÓN]]</f>
        <v>46059</v>
      </c>
      <c r="C66" s="51" t="s">
        <v>30</v>
      </c>
      <c r="D66" s="51" t="s">
        <v>86</v>
      </c>
      <c r="E66" s="51" t="s">
        <v>34</v>
      </c>
      <c r="F66" s="51" t="s">
        <v>24</v>
      </c>
      <c r="G66" s="51" t="s">
        <v>269</v>
      </c>
      <c r="H66" s="45">
        <v>46059</v>
      </c>
      <c r="I66" s="51" t="s">
        <v>268</v>
      </c>
    </row>
    <row r="67" spans="1:10" x14ac:dyDescent="0.2">
      <c r="A67" s="62" t="s">
        <v>217</v>
      </c>
      <c r="B67" s="63"/>
      <c r="C67" s="55"/>
      <c r="D67" s="55"/>
      <c r="E67" s="55"/>
      <c r="F67" s="56"/>
      <c r="G67" s="57"/>
      <c r="H67" s="64"/>
      <c r="I67" s="59"/>
      <c r="J67" s="60"/>
    </row>
    <row r="68" spans="1:10" x14ac:dyDescent="0.2">
      <c r="A68" s="81" t="s">
        <v>267</v>
      </c>
      <c r="B68" s="82"/>
      <c r="C68" s="73"/>
      <c r="D68" s="57"/>
      <c r="E68" s="57"/>
      <c r="F68" s="72"/>
      <c r="G68" s="72"/>
      <c r="H68" s="72"/>
      <c r="I68" s="72"/>
      <c r="J68" s="74"/>
    </row>
    <row r="69" spans="1:10" x14ac:dyDescent="0.2">
      <c r="A69" s="43" t="s">
        <v>15</v>
      </c>
      <c r="B69" s="83" t="s">
        <v>271</v>
      </c>
      <c r="C69" s="83"/>
      <c r="D69" s="83"/>
      <c r="E69" s="83"/>
      <c r="F69" s="83"/>
      <c r="G69" s="83"/>
      <c r="H69" s="83"/>
      <c r="I69" s="83"/>
      <c r="J69" s="83"/>
    </row>
    <row r="70" spans="1:10" x14ac:dyDescent="0.2">
      <c r="A70" s="65" t="s">
        <v>16</v>
      </c>
      <c r="B70" s="78" t="s">
        <v>76</v>
      </c>
      <c r="C70" s="78"/>
      <c r="D70" s="78"/>
      <c r="E70" s="78"/>
      <c r="F70" s="78"/>
      <c r="G70" s="78"/>
      <c r="H70" s="78"/>
      <c r="I70" s="78"/>
      <c r="J70" s="78"/>
    </row>
    <row r="71" spans="1:10" ht="25.5" x14ac:dyDescent="0.2">
      <c r="A71" s="22" t="s">
        <v>17</v>
      </c>
      <c r="B71" s="77"/>
      <c r="C71" s="77"/>
      <c r="D71" s="77"/>
      <c r="E71" s="77"/>
      <c r="F71" s="77"/>
      <c r="G71" s="77"/>
      <c r="H71" s="77"/>
      <c r="I71" s="77"/>
      <c r="J71" s="77"/>
    </row>
    <row r="72" spans="1:10" x14ac:dyDescent="0.2">
      <c r="A72" s="65" t="s">
        <v>18</v>
      </c>
      <c r="B72" s="77" t="s">
        <v>146</v>
      </c>
      <c r="C72" s="77"/>
      <c r="D72" s="77"/>
      <c r="E72" s="77"/>
      <c r="F72" s="77"/>
      <c r="G72" s="77"/>
      <c r="H72" s="77"/>
      <c r="I72" s="77"/>
      <c r="J72" s="77"/>
    </row>
    <row r="73" spans="1:10" ht="30.75" customHeight="1" x14ac:dyDescent="0.2">
      <c r="A73" s="44" t="s">
        <v>152</v>
      </c>
      <c r="B73" s="79"/>
      <c r="C73" s="79"/>
      <c r="D73" s="79"/>
      <c r="E73" s="79"/>
      <c r="F73" s="79"/>
      <c r="G73" s="79"/>
      <c r="H73" s="79"/>
      <c r="I73" s="79"/>
      <c r="J73" s="79"/>
    </row>
    <row r="74" spans="1:10" x14ac:dyDescent="0.2">
      <c r="A74" s="66"/>
      <c r="B74" s="67"/>
      <c r="C74" s="66"/>
      <c r="D74" s="66"/>
      <c r="E74" s="66"/>
      <c r="F74" s="66"/>
      <c r="G74" s="66"/>
      <c r="H74" s="66"/>
      <c r="I74" s="66"/>
      <c r="J74" s="68"/>
    </row>
    <row r="75" spans="1:10" x14ac:dyDescent="0.2">
      <c r="A75" s="66"/>
      <c r="B75" s="67"/>
      <c r="C75" s="66"/>
      <c r="D75" s="66"/>
      <c r="E75" s="66"/>
      <c r="F75" s="66"/>
      <c r="G75" s="66"/>
      <c r="H75" s="66"/>
      <c r="I75" s="66"/>
      <c r="J75" s="60"/>
    </row>
    <row r="76" spans="1:10" x14ac:dyDescent="0.2">
      <c r="A76" s="66"/>
      <c r="B76" s="67"/>
      <c r="C76" s="66"/>
      <c r="D76" s="66"/>
      <c r="E76" s="66"/>
      <c r="F76" s="66"/>
      <c r="G76" s="66"/>
      <c r="H76" s="66"/>
      <c r="I76" s="66"/>
      <c r="J76" s="60"/>
    </row>
    <row r="77" spans="1:10" x14ac:dyDescent="0.2">
      <c r="A77" s="66"/>
      <c r="B77" s="67"/>
      <c r="C77" s="66"/>
      <c r="D77" s="66"/>
      <c r="E77" s="66"/>
      <c r="F77" s="66"/>
      <c r="G77" s="66"/>
      <c r="H77" s="66"/>
      <c r="I77" s="66"/>
      <c r="J77" s="60"/>
    </row>
    <row r="78" spans="1:10" x14ac:dyDescent="0.2">
      <c r="A78" s="66"/>
      <c r="B78" s="67"/>
      <c r="C78" s="66"/>
      <c r="D78" s="66"/>
      <c r="E78" s="66"/>
      <c r="F78" s="66"/>
      <c r="G78" s="66"/>
      <c r="H78" s="66"/>
      <c r="I78" s="66"/>
      <c r="J78" s="60"/>
    </row>
    <row r="79" spans="1:10" x14ac:dyDescent="0.2">
      <c r="A79" s="66"/>
      <c r="B79" s="67"/>
      <c r="C79" s="66"/>
      <c r="D79" s="66"/>
      <c r="E79" s="66"/>
      <c r="F79" s="66"/>
      <c r="G79" s="66"/>
      <c r="H79" s="66"/>
      <c r="I79" s="66"/>
      <c r="J79" s="60"/>
    </row>
    <row r="80" spans="1:10" x14ac:dyDescent="0.2">
      <c r="A80" s="66"/>
      <c r="B80" s="67"/>
      <c r="C80" s="66"/>
      <c r="D80" s="66"/>
      <c r="E80" s="66"/>
      <c r="F80" s="66"/>
      <c r="G80" s="66"/>
      <c r="H80" s="66"/>
      <c r="I80" s="66"/>
      <c r="J80" s="60"/>
    </row>
    <row r="81" spans="1:10" x14ac:dyDescent="0.2">
      <c r="A81" s="66"/>
      <c r="B81" s="67"/>
      <c r="C81" s="66"/>
      <c r="D81" s="66"/>
      <c r="E81" s="66"/>
      <c r="F81" s="66"/>
      <c r="G81" s="66"/>
      <c r="H81" s="66"/>
      <c r="I81" s="66"/>
      <c r="J81" s="60"/>
    </row>
    <row r="82" spans="1:10" x14ac:dyDescent="0.2">
      <c r="A82" s="66"/>
      <c r="B82" s="67"/>
      <c r="C82" s="66"/>
      <c r="D82" s="66"/>
      <c r="E82" s="66"/>
      <c r="F82" s="66"/>
      <c r="G82" s="66"/>
      <c r="H82" s="66"/>
      <c r="I82" s="66"/>
      <c r="J82" s="60"/>
    </row>
    <row r="83" spans="1:10" x14ac:dyDescent="0.2">
      <c r="A83" s="66"/>
      <c r="B83" s="67"/>
      <c r="C83" s="66"/>
      <c r="D83" s="66"/>
      <c r="E83" s="66"/>
      <c r="F83" s="66"/>
      <c r="G83" s="66"/>
      <c r="H83" s="66"/>
      <c r="I83" s="66"/>
      <c r="J83" s="60"/>
    </row>
    <row r="84" spans="1:10" x14ac:dyDescent="0.2">
      <c r="A84" s="66"/>
      <c r="B84" s="67"/>
      <c r="C84" s="66"/>
      <c r="D84" s="66"/>
      <c r="E84" s="66"/>
      <c r="F84" s="66"/>
      <c r="G84" s="66"/>
      <c r="H84" s="66"/>
      <c r="I84" s="66"/>
      <c r="J84" s="60"/>
    </row>
    <row r="85" spans="1:10" x14ac:dyDescent="0.2">
      <c r="A85" s="66"/>
      <c r="B85" s="67"/>
      <c r="C85" s="66"/>
      <c r="D85" s="66"/>
      <c r="E85" s="66"/>
      <c r="F85" s="66"/>
      <c r="G85" s="66"/>
      <c r="H85" s="66"/>
      <c r="I85" s="66"/>
      <c r="J85" s="60"/>
    </row>
    <row r="86" spans="1:10" x14ac:dyDescent="0.2">
      <c r="A86" s="66"/>
      <c r="B86" s="67"/>
      <c r="C86" s="66"/>
      <c r="D86" s="66"/>
      <c r="E86" s="66"/>
      <c r="F86" s="66"/>
      <c r="G86" s="66"/>
      <c r="H86" s="66"/>
      <c r="I86" s="66"/>
      <c r="J86" s="60"/>
    </row>
    <row r="87" spans="1:10" x14ac:dyDescent="0.2">
      <c r="A87" s="66"/>
      <c r="B87" s="67"/>
      <c r="C87" s="66"/>
      <c r="D87" s="66"/>
      <c r="E87" s="66"/>
      <c r="F87" s="66"/>
      <c r="G87" s="66"/>
      <c r="H87" s="66"/>
      <c r="I87" s="66"/>
      <c r="J87" s="60"/>
    </row>
    <row r="88" spans="1:10" x14ac:dyDescent="0.2">
      <c r="A88" s="66"/>
      <c r="B88" s="67"/>
      <c r="C88" s="66"/>
      <c r="D88" s="66"/>
      <c r="E88" s="66"/>
      <c r="F88" s="66"/>
      <c r="G88" s="66"/>
      <c r="H88" s="66"/>
      <c r="I88" s="66"/>
      <c r="J88" s="60"/>
    </row>
    <row r="89" spans="1:10" x14ac:dyDescent="0.2">
      <c r="A89" s="66"/>
      <c r="B89" s="67"/>
      <c r="C89" s="66"/>
      <c r="D89" s="66"/>
      <c r="E89" s="66"/>
      <c r="F89" s="66"/>
      <c r="G89" s="66"/>
      <c r="H89" s="66"/>
      <c r="I89" s="66"/>
      <c r="J89" s="60"/>
    </row>
    <row r="90" spans="1:10" x14ac:dyDescent="0.2">
      <c r="A90" s="66"/>
      <c r="B90" s="67"/>
      <c r="C90" s="66"/>
      <c r="D90" s="66"/>
      <c r="E90" s="66"/>
      <c r="F90" s="66"/>
      <c r="G90" s="66"/>
      <c r="H90" s="66"/>
      <c r="I90" s="66"/>
      <c r="J90" s="60"/>
    </row>
    <row r="91" spans="1:10" x14ac:dyDescent="0.2">
      <c r="A91" s="66"/>
      <c r="B91" s="67"/>
      <c r="C91" s="66"/>
      <c r="D91" s="66"/>
      <c r="E91" s="66"/>
      <c r="F91" s="66"/>
      <c r="G91" s="66"/>
      <c r="H91" s="66"/>
      <c r="I91" s="66"/>
      <c r="J91" s="60"/>
    </row>
    <row r="92" spans="1:10" x14ac:dyDescent="0.2">
      <c r="A92" s="66"/>
      <c r="B92" s="67"/>
      <c r="C92" s="66"/>
      <c r="D92" s="66"/>
      <c r="E92" s="66"/>
      <c r="F92" s="66"/>
      <c r="G92" s="66"/>
      <c r="H92" s="66"/>
      <c r="I92" s="66"/>
      <c r="J92" s="60"/>
    </row>
    <row r="93" spans="1:10" x14ac:dyDescent="0.2">
      <c r="A93" s="66"/>
      <c r="B93" s="67"/>
      <c r="C93" s="66"/>
      <c r="D93" s="66"/>
      <c r="E93" s="66"/>
      <c r="F93" s="66"/>
      <c r="G93" s="66"/>
      <c r="H93" s="66"/>
      <c r="I93" s="66"/>
      <c r="J93" s="60"/>
    </row>
    <row r="94" spans="1:10" x14ac:dyDescent="0.2">
      <c r="A94" s="66"/>
      <c r="B94" s="67"/>
      <c r="C94" s="66"/>
      <c r="D94" s="66"/>
      <c r="E94" s="66"/>
      <c r="F94" s="66"/>
      <c r="G94" s="66"/>
      <c r="H94" s="66"/>
      <c r="I94" s="66"/>
      <c r="J94" s="60"/>
    </row>
    <row r="95" spans="1:10" x14ac:dyDescent="0.2">
      <c r="A95" s="66"/>
      <c r="B95" s="67"/>
      <c r="C95" s="66"/>
      <c r="D95" s="66"/>
      <c r="E95" s="66"/>
      <c r="F95" s="66"/>
      <c r="G95" s="66"/>
      <c r="H95" s="66"/>
      <c r="I95" s="66"/>
      <c r="J95" s="60"/>
    </row>
    <row r="96" spans="1:10" x14ac:dyDescent="0.2">
      <c r="A96" s="66"/>
      <c r="B96" s="67"/>
      <c r="C96" s="66"/>
      <c r="D96" s="66"/>
      <c r="E96" s="66"/>
      <c r="F96" s="66"/>
      <c r="G96" s="66"/>
      <c r="H96" s="66"/>
      <c r="I96" s="66"/>
      <c r="J96" s="60"/>
    </row>
    <row r="97" spans="1:10" x14ac:dyDescent="0.2">
      <c r="A97" s="66"/>
      <c r="B97" s="67"/>
      <c r="C97" s="66"/>
      <c r="D97" s="66"/>
      <c r="E97" s="66"/>
      <c r="F97" s="66"/>
      <c r="G97" s="66"/>
      <c r="H97" s="66"/>
      <c r="I97" s="66"/>
      <c r="J97" s="60"/>
    </row>
    <row r="98" spans="1:10" x14ac:dyDescent="0.2">
      <c r="A98" s="66"/>
      <c r="B98" s="67"/>
      <c r="C98" s="66"/>
      <c r="D98" s="66"/>
      <c r="E98" s="66"/>
      <c r="F98" s="66"/>
      <c r="G98" s="66"/>
      <c r="H98" s="66"/>
      <c r="I98" s="66"/>
      <c r="J98" s="60"/>
    </row>
    <row r="99" spans="1:10" x14ac:dyDescent="0.2">
      <c r="A99" s="66"/>
      <c r="B99" s="67"/>
      <c r="C99" s="66"/>
      <c r="D99" s="66"/>
      <c r="E99" s="66"/>
      <c r="F99" s="66"/>
      <c r="G99" s="66"/>
      <c r="H99" s="66"/>
      <c r="I99" s="66"/>
      <c r="J99" s="60"/>
    </row>
    <row r="100" spans="1:10" x14ac:dyDescent="0.2">
      <c r="A100" s="66"/>
      <c r="B100" s="67"/>
      <c r="C100" s="66"/>
      <c r="D100" s="66"/>
      <c r="E100" s="66"/>
      <c r="F100" s="66"/>
      <c r="G100" s="66"/>
      <c r="H100" s="66"/>
      <c r="I100" s="66"/>
      <c r="J100" s="60"/>
    </row>
    <row r="101" spans="1:10" x14ac:dyDescent="0.2">
      <c r="A101" s="66"/>
      <c r="B101" s="67"/>
      <c r="C101" s="66"/>
      <c r="D101" s="66"/>
      <c r="E101" s="66"/>
      <c r="F101" s="66"/>
      <c r="G101" s="66"/>
      <c r="H101" s="66"/>
      <c r="I101" s="66"/>
      <c r="J101" s="60"/>
    </row>
  </sheetData>
  <mergeCells count="17">
    <mergeCell ref="B70:J70"/>
    <mergeCell ref="B71:J71"/>
    <mergeCell ref="B72:J72"/>
    <mergeCell ref="B73:J73"/>
    <mergeCell ref="A5:B5"/>
    <mergeCell ref="C5:J5"/>
    <mergeCell ref="A6:B6"/>
    <mergeCell ref="C6:J6"/>
    <mergeCell ref="A68:B68"/>
    <mergeCell ref="B69:J69"/>
    <mergeCell ref="A4:B4"/>
    <mergeCell ref="C4:J4"/>
    <mergeCell ref="A1:J1"/>
    <mergeCell ref="A2:B2"/>
    <mergeCell ref="C2:J2"/>
    <mergeCell ref="A3:B3"/>
    <mergeCell ref="C3:J3"/>
  </mergeCells>
  <pageMargins left="0.25" right="0.25" top="0.75" bottom="0.75" header="0.3" footer="0.3"/>
  <pageSetup scale="74" fitToHeight="0"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93"/>
  <sheetViews>
    <sheetView topLeftCell="A59" zoomScaleNormal="100" workbookViewId="0">
      <selection activeCell="I59" sqref="I59"/>
    </sheetView>
  </sheetViews>
  <sheetFormatPr baseColWidth="10" defaultRowHeight="12.75" x14ac:dyDescent="0.2"/>
  <cols>
    <col min="1" max="1" width="30.5703125" style="6" customWidth="1"/>
    <col min="2" max="2" width="12.140625" style="38" bestFit="1" customWidth="1"/>
    <col min="3" max="3" width="14.28515625" style="6" bestFit="1" customWidth="1"/>
    <col min="4" max="4" width="15.42578125" style="6" bestFit="1" customWidth="1"/>
    <col min="5" max="5" width="14.7109375" style="6" customWidth="1"/>
    <col min="6" max="6" width="15.140625" style="6" customWidth="1"/>
    <col min="7" max="7" width="10.85546875" style="6" customWidth="1"/>
    <col min="8" max="8" width="10.5703125" style="6" customWidth="1"/>
    <col min="9" max="9" width="56.140625" style="6" customWidth="1"/>
    <col min="10" max="10" width="0.140625" style="6" customWidth="1"/>
    <col min="11" max="11" width="26.42578125" style="6" customWidth="1"/>
    <col min="12" max="16384" width="11.42578125" style="6"/>
  </cols>
  <sheetData>
    <row r="1" spans="1:10" ht="18" customHeight="1" x14ac:dyDescent="0.2">
      <c r="A1" s="75" t="s">
        <v>9</v>
      </c>
      <c r="B1" s="75"/>
      <c r="C1" s="75"/>
      <c r="D1" s="75"/>
      <c r="E1" s="75"/>
      <c r="F1" s="75"/>
      <c r="G1" s="75"/>
      <c r="H1" s="75"/>
      <c r="I1" s="75"/>
      <c r="J1" s="75"/>
    </row>
    <row r="2" spans="1:10" x14ac:dyDescent="0.2">
      <c r="A2" s="75" t="s">
        <v>10</v>
      </c>
      <c r="B2" s="75"/>
      <c r="C2" s="76" t="s">
        <v>77</v>
      </c>
      <c r="D2" s="76"/>
      <c r="E2" s="76"/>
      <c r="F2" s="76"/>
      <c r="G2" s="76"/>
      <c r="H2" s="76"/>
      <c r="I2" s="76"/>
      <c r="J2" s="76"/>
    </row>
    <row r="3" spans="1:10" ht="27.75" customHeight="1" x14ac:dyDescent="0.2">
      <c r="A3" s="75" t="s">
        <v>11</v>
      </c>
      <c r="B3" s="75"/>
      <c r="C3" s="77" t="s">
        <v>75</v>
      </c>
      <c r="D3" s="77"/>
      <c r="E3" s="77"/>
      <c r="F3" s="77"/>
      <c r="G3" s="77"/>
      <c r="H3" s="77"/>
      <c r="I3" s="77"/>
      <c r="J3" s="77"/>
    </row>
    <row r="4" spans="1:10" x14ac:dyDescent="0.2">
      <c r="A4" s="75" t="s">
        <v>12</v>
      </c>
      <c r="B4" s="75"/>
      <c r="C4" s="76" t="s">
        <v>76</v>
      </c>
      <c r="D4" s="76"/>
      <c r="E4" s="76"/>
      <c r="F4" s="76"/>
      <c r="G4" s="76"/>
      <c r="H4" s="76"/>
      <c r="I4" s="76"/>
      <c r="J4" s="76"/>
    </row>
    <row r="5" spans="1:10" ht="13.5" customHeight="1" x14ac:dyDescent="0.2">
      <c r="A5" s="75" t="s">
        <v>13</v>
      </c>
      <c r="B5" s="75"/>
      <c r="C5" s="80" t="s">
        <v>78</v>
      </c>
      <c r="D5" s="80"/>
      <c r="E5" s="80"/>
      <c r="F5" s="80"/>
      <c r="G5" s="80"/>
      <c r="H5" s="80"/>
      <c r="I5" s="80"/>
      <c r="J5" s="80"/>
    </row>
    <row r="6" spans="1:10" ht="15.75" customHeight="1" x14ac:dyDescent="0.2">
      <c r="A6" s="75" t="s">
        <v>14</v>
      </c>
      <c r="B6" s="75"/>
      <c r="C6" s="76" t="s">
        <v>151</v>
      </c>
      <c r="D6" s="76"/>
      <c r="E6" s="76"/>
      <c r="F6" s="76"/>
      <c r="G6" s="76"/>
      <c r="H6" s="76"/>
      <c r="I6" s="76"/>
      <c r="J6" s="76"/>
    </row>
    <row r="7" spans="1:10" ht="25.5" x14ac:dyDescent="0.2">
      <c r="A7" s="1" t="s">
        <v>5</v>
      </c>
      <c r="B7" s="29" t="s">
        <v>0</v>
      </c>
      <c r="C7" s="30" t="s">
        <v>1</v>
      </c>
      <c r="D7" s="2" t="s">
        <v>2</v>
      </c>
      <c r="E7" s="2" t="s">
        <v>3</v>
      </c>
      <c r="F7" s="1" t="s">
        <v>4</v>
      </c>
      <c r="G7" s="1" t="s">
        <v>6</v>
      </c>
      <c r="H7" s="1" t="s">
        <v>7</v>
      </c>
      <c r="I7" s="2" t="s">
        <v>8</v>
      </c>
    </row>
    <row r="8" spans="1:10" ht="150.75" customHeight="1" x14ac:dyDescent="0.2">
      <c r="A8" s="26" t="s">
        <v>147</v>
      </c>
      <c r="B8" s="31">
        <v>45954</v>
      </c>
      <c r="C8" s="26" t="s">
        <v>80</v>
      </c>
      <c r="D8" s="26" t="s">
        <v>71</v>
      </c>
      <c r="E8" s="27" t="s">
        <v>26</v>
      </c>
      <c r="F8" s="28" t="s">
        <v>27</v>
      </c>
      <c r="G8" s="8" t="s">
        <v>25</v>
      </c>
      <c r="H8" s="31">
        <v>45954</v>
      </c>
      <c r="I8" s="26" t="s">
        <v>90</v>
      </c>
    </row>
    <row r="9" spans="1:10" ht="150" x14ac:dyDescent="0.2">
      <c r="A9" s="26" t="s">
        <v>147</v>
      </c>
      <c r="B9" s="31">
        <v>45957</v>
      </c>
      <c r="C9" s="26" t="s">
        <v>81</v>
      </c>
      <c r="D9" s="26" t="s">
        <v>71</v>
      </c>
      <c r="E9" s="27" t="s">
        <v>34</v>
      </c>
      <c r="F9" s="28" t="s">
        <v>27</v>
      </c>
      <c r="G9" s="8" t="s">
        <v>25</v>
      </c>
      <c r="H9" s="31">
        <v>45957</v>
      </c>
      <c r="I9" s="26" t="s">
        <v>91</v>
      </c>
    </row>
    <row r="10" spans="1:10" ht="150" x14ac:dyDescent="0.2">
      <c r="A10" s="26" t="s">
        <v>147</v>
      </c>
      <c r="B10" s="31">
        <v>45957</v>
      </c>
      <c r="C10" s="26" t="s">
        <v>32</v>
      </c>
      <c r="D10" s="26" t="s">
        <v>59</v>
      </c>
      <c r="E10" s="27" t="s">
        <v>36</v>
      </c>
      <c r="F10" s="28" t="s">
        <v>70</v>
      </c>
      <c r="G10" s="8" t="s">
        <v>25</v>
      </c>
      <c r="H10" s="31">
        <v>45957</v>
      </c>
      <c r="I10" s="26" t="s">
        <v>92</v>
      </c>
    </row>
    <row r="11" spans="1:10" ht="153" customHeight="1" x14ac:dyDescent="0.2">
      <c r="A11" s="26" t="s">
        <v>147</v>
      </c>
      <c r="B11" s="31">
        <v>45957</v>
      </c>
      <c r="C11" s="26" t="s">
        <v>28</v>
      </c>
      <c r="D11" s="26" t="s">
        <v>46</v>
      </c>
      <c r="E11" s="27" t="s">
        <v>26</v>
      </c>
      <c r="F11" s="28" t="s">
        <v>24</v>
      </c>
      <c r="G11" s="8" t="s">
        <v>25</v>
      </c>
      <c r="H11" s="31">
        <v>45957</v>
      </c>
      <c r="I11" s="26" t="s">
        <v>93</v>
      </c>
    </row>
    <row r="12" spans="1:10" ht="150" x14ac:dyDescent="0.2">
      <c r="A12" s="26" t="s">
        <v>147</v>
      </c>
      <c r="B12" s="31">
        <v>45959</v>
      </c>
      <c r="C12" s="26" t="s">
        <v>41</v>
      </c>
      <c r="D12" s="26" t="s">
        <v>82</v>
      </c>
      <c r="E12" s="27" t="s">
        <v>26</v>
      </c>
      <c r="F12" s="28" t="s">
        <v>24</v>
      </c>
      <c r="G12" s="8" t="s">
        <v>25</v>
      </c>
      <c r="H12" s="31">
        <v>45959</v>
      </c>
      <c r="I12" s="26" t="s">
        <v>94</v>
      </c>
    </row>
    <row r="13" spans="1:10" ht="155.25" customHeight="1" x14ac:dyDescent="0.2">
      <c r="A13" s="26" t="s">
        <v>147</v>
      </c>
      <c r="B13" s="31">
        <v>45959</v>
      </c>
      <c r="C13" s="26" t="s">
        <v>41</v>
      </c>
      <c r="D13" s="26" t="s">
        <v>82</v>
      </c>
      <c r="E13" s="27" t="s">
        <v>23</v>
      </c>
      <c r="F13" s="28" t="s">
        <v>24</v>
      </c>
      <c r="G13" s="8" t="s">
        <v>25</v>
      </c>
      <c r="H13" s="31">
        <v>45959</v>
      </c>
      <c r="I13" s="26" t="s">
        <v>95</v>
      </c>
    </row>
    <row r="14" spans="1:10" ht="155.25" customHeight="1" x14ac:dyDescent="0.2">
      <c r="A14" s="26" t="s">
        <v>147</v>
      </c>
      <c r="B14" s="31">
        <v>45966</v>
      </c>
      <c r="C14" s="26" t="s">
        <v>83</v>
      </c>
      <c r="D14" s="26" t="s">
        <v>84</v>
      </c>
      <c r="E14" s="27" t="s">
        <v>23</v>
      </c>
      <c r="F14" s="28" t="s">
        <v>24</v>
      </c>
      <c r="G14" s="8" t="s">
        <v>25</v>
      </c>
      <c r="H14" s="31">
        <v>45966</v>
      </c>
      <c r="I14" s="26" t="s">
        <v>96</v>
      </c>
    </row>
    <row r="15" spans="1:10" ht="150" x14ac:dyDescent="0.2">
      <c r="A15" s="26" t="s">
        <v>147</v>
      </c>
      <c r="B15" s="31">
        <v>45967</v>
      </c>
      <c r="C15" s="26" t="s">
        <v>85</v>
      </c>
      <c r="D15" s="26" t="s">
        <v>68</v>
      </c>
      <c r="E15" s="27" t="s">
        <v>36</v>
      </c>
      <c r="F15" s="28" t="s">
        <v>24</v>
      </c>
      <c r="G15" s="8"/>
      <c r="H15" s="31">
        <v>45967</v>
      </c>
      <c r="I15" s="26" t="s">
        <v>97</v>
      </c>
    </row>
    <row r="16" spans="1:10" ht="154.5" customHeight="1" x14ac:dyDescent="0.2">
      <c r="A16" s="26" t="s">
        <v>147</v>
      </c>
      <c r="B16" s="31">
        <v>45968</v>
      </c>
      <c r="C16" s="26" t="s">
        <v>30</v>
      </c>
      <c r="D16" s="26" t="s">
        <v>86</v>
      </c>
      <c r="E16" s="27" t="s">
        <v>36</v>
      </c>
      <c r="F16" s="28" t="s">
        <v>24</v>
      </c>
      <c r="G16" s="8"/>
      <c r="H16" s="31">
        <v>45968</v>
      </c>
      <c r="I16" s="26" t="s">
        <v>98</v>
      </c>
    </row>
    <row r="17" spans="1:9" ht="156" customHeight="1" x14ac:dyDescent="0.2">
      <c r="A17" s="26" t="s">
        <v>147</v>
      </c>
      <c r="B17" s="31">
        <v>45971</v>
      </c>
      <c r="C17" s="26" t="s">
        <v>33</v>
      </c>
      <c r="D17" s="26" t="s">
        <v>67</v>
      </c>
      <c r="E17" s="27" t="s">
        <v>36</v>
      </c>
      <c r="F17" s="28" t="s">
        <v>24</v>
      </c>
      <c r="G17" s="8" t="s">
        <v>25</v>
      </c>
      <c r="H17" s="31">
        <v>45971</v>
      </c>
      <c r="I17" s="26" t="s">
        <v>99</v>
      </c>
    </row>
    <row r="18" spans="1:9" ht="150" x14ac:dyDescent="0.2">
      <c r="A18" s="26" t="s">
        <v>147</v>
      </c>
      <c r="B18" s="31">
        <v>45974</v>
      </c>
      <c r="C18" s="26" t="s">
        <v>44</v>
      </c>
      <c r="D18" s="26" t="s">
        <v>51</v>
      </c>
      <c r="E18" s="27" t="s">
        <v>34</v>
      </c>
      <c r="F18" s="28" t="s">
        <v>24</v>
      </c>
      <c r="G18" s="8" t="s">
        <v>25</v>
      </c>
      <c r="H18" s="31">
        <v>45974</v>
      </c>
      <c r="I18" s="26" t="s">
        <v>100</v>
      </c>
    </row>
    <row r="19" spans="1:9" ht="156" customHeight="1" x14ac:dyDescent="0.2">
      <c r="A19" s="26" t="s">
        <v>147</v>
      </c>
      <c r="B19" s="31">
        <v>45974</v>
      </c>
      <c r="C19" s="26" t="s">
        <v>60</v>
      </c>
      <c r="D19" s="26" t="s">
        <v>72</v>
      </c>
      <c r="E19" s="27" t="s">
        <v>34</v>
      </c>
      <c r="F19" s="28" t="s">
        <v>24</v>
      </c>
      <c r="G19" s="8" t="s">
        <v>25</v>
      </c>
      <c r="H19" s="31">
        <v>45974</v>
      </c>
      <c r="I19" s="26" t="s">
        <v>100</v>
      </c>
    </row>
    <row r="20" spans="1:9" ht="154.5" customHeight="1" x14ac:dyDescent="0.2">
      <c r="A20" s="26" t="s">
        <v>147</v>
      </c>
      <c r="B20" s="31">
        <v>45974</v>
      </c>
      <c r="C20" s="26" t="s">
        <v>44</v>
      </c>
      <c r="D20" s="26" t="s">
        <v>51</v>
      </c>
      <c r="E20" s="27" t="s">
        <v>34</v>
      </c>
      <c r="F20" s="28" t="s">
        <v>24</v>
      </c>
      <c r="G20" s="8" t="s">
        <v>25</v>
      </c>
      <c r="H20" s="31">
        <v>45974</v>
      </c>
      <c r="I20" s="26" t="s">
        <v>100</v>
      </c>
    </row>
    <row r="21" spans="1:9" ht="150" x14ac:dyDescent="0.2">
      <c r="A21" s="26" t="s">
        <v>147</v>
      </c>
      <c r="B21" s="31">
        <v>45974</v>
      </c>
      <c r="C21" s="26" t="s">
        <v>44</v>
      </c>
      <c r="D21" s="26" t="s">
        <v>51</v>
      </c>
      <c r="E21" s="27" t="s">
        <v>34</v>
      </c>
      <c r="F21" s="28" t="s">
        <v>24</v>
      </c>
      <c r="G21" s="8" t="s">
        <v>25</v>
      </c>
      <c r="H21" s="31">
        <v>45974</v>
      </c>
      <c r="I21" s="26" t="s">
        <v>101</v>
      </c>
    </row>
    <row r="22" spans="1:9" ht="153" customHeight="1" x14ac:dyDescent="0.2">
      <c r="A22" s="26" t="s">
        <v>147</v>
      </c>
      <c r="B22" s="31">
        <v>45974</v>
      </c>
      <c r="C22" s="26" t="s">
        <v>60</v>
      </c>
      <c r="D22" s="26" t="s">
        <v>72</v>
      </c>
      <c r="E22" s="27" t="s">
        <v>34</v>
      </c>
      <c r="F22" s="28" t="s">
        <v>24</v>
      </c>
      <c r="G22" s="8"/>
      <c r="H22" s="31">
        <v>45974</v>
      </c>
      <c r="I22" s="26" t="s">
        <v>101</v>
      </c>
    </row>
    <row r="23" spans="1:9" ht="150.75" customHeight="1" x14ac:dyDescent="0.2">
      <c r="A23" s="26" t="s">
        <v>147</v>
      </c>
      <c r="B23" s="31">
        <v>45975</v>
      </c>
      <c r="C23" s="26" t="s">
        <v>39</v>
      </c>
      <c r="D23" s="26" t="s">
        <v>45</v>
      </c>
      <c r="E23" s="27" t="s">
        <v>34</v>
      </c>
      <c r="F23" s="28" t="s">
        <v>24</v>
      </c>
      <c r="G23" s="8"/>
      <c r="H23" s="31">
        <v>45975</v>
      </c>
      <c r="I23" s="26" t="s">
        <v>102</v>
      </c>
    </row>
    <row r="24" spans="1:9" ht="155.25" customHeight="1" x14ac:dyDescent="0.2">
      <c r="A24" s="26" t="s">
        <v>147</v>
      </c>
      <c r="B24" s="31" t="s">
        <v>79</v>
      </c>
      <c r="C24" s="26" t="s">
        <v>69</v>
      </c>
      <c r="D24" s="26" t="s">
        <v>62</v>
      </c>
      <c r="E24" s="27" t="s">
        <v>34</v>
      </c>
      <c r="F24" s="28" t="s">
        <v>24</v>
      </c>
      <c r="G24" s="8" t="s">
        <v>25</v>
      </c>
      <c r="H24" s="31" t="s">
        <v>79</v>
      </c>
      <c r="I24" s="26" t="s">
        <v>103</v>
      </c>
    </row>
    <row r="25" spans="1:9" ht="156.75" customHeight="1" x14ac:dyDescent="0.2">
      <c r="A25" s="26" t="s">
        <v>147</v>
      </c>
      <c r="B25" s="31">
        <v>45975</v>
      </c>
      <c r="C25" s="26" t="s">
        <v>69</v>
      </c>
      <c r="D25" s="26" t="s">
        <v>87</v>
      </c>
      <c r="E25" s="27" t="s">
        <v>34</v>
      </c>
      <c r="F25" s="28" t="s">
        <v>24</v>
      </c>
      <c r="G25" s="8" t="s">
        <v>25</v>
      </c>
      <c r="H25" s="31">
        <v>45975</v>
      </c>
      <c r="I25" s="26" t="s">
        <v>104</v>
      </c>
    </row>
    <row r="26" spans="1:9" ht="150.75" customHeight="1" x14ac:dyDescent="0.2">
      <c r="A26" s="26" t="s">
        <v>147</v>
      </c>
      <c r="B26" s="31">
        <v>45975</v>
      </c>
      <c r="C26" s="26" t="s">
        <v>69</v>
      </c>
      <c r="D26" s="26" t="s">
        <v>62</v>
      </c>
      <c r="E26" s="27" t="s">
        <v>34</v>
      </c>
      <c r="F26" s="28" t="s">
        <v>24</v>
      </c>
      <c r="G26" s="8" t="s">
        <v>25</v>
      </c>
      <c r="H26" s="31">
        <v>45975</v>
      </c>
      <c r="I26" s="26" t="s">
        <v>105</v>
      </c>
    </row>
    <row r="27" spans="1:9" ht="151.5" customHeight="1" x14ac:dyDescent="0.2">
      <c r="A27" s="26" t="s">
        <v>147</v>
      </c>
      <c r="B27" s="31">
        <v>45979</v>
      </c>
      <c r="C27" s="26" t="s">
        <v>33</v>
      </c>
      <c r="D27" s="26" t="s">
        <v>63</v>
      </c>
      <c r="E27" s="27" t="s">
        <v>34</v>
      </c>
      <c r="F27" s="28" t="s">
        <v>27</v>
      </c>
      <c r="G27" s="8"/>
      <c r="H27" s="31">
        <v>45979</v>
      </c>
      <c r="I27" s="26" t="s">
        <v>106</v>
      </c>
    </row>
    <row r="28" spans="1:9" ht="156.75" customHeight="1" x14ac:dyDescent="0.2">
      <c r="A28" s="26" t="s">
        <v>147</v>
      </c>
      <c r="B28" s="31">
        <v>45979</v>
      </c>
      <c r="C28" s="26" t="s">
        <v>22</v>
      </c>
      <c r="D28" s="26" t="s">
        <v>66</v>
      </c>
      <c r="E28" s="27" t="s">
        <v>26</v>
      </c>
      <c r="F28" s="28" t="s">
        <v>24</v>
      </c>
      <c r="G28" s="8"/>
      <c r="H28" s="31">
        <v>45979</v>
      </c>
      <c r="I28" s="26" t="s">
        <v>107</v>
      </c>
    </row>
    <row r="29" spans="1:9" ht="156" customHeight="1" x14ac:dyDescent="0.2">
      <c r="A29" s="26" t="s">
        <v>147</v>
      </c>
      <c r="B29" s="31">
        <v>45979</v>
      </c>
      <c r="C29" s="26" t="s">
        <v>29</v>
      </c>
      <c r="D29" s="26" t="s">
        <v>88</v>
      </c>
      <c r="E29" s="27" t="s">
        <v>34</v>
      </c>
      <c r="F29" s="28" t="s">
        <v>24</v>
      </c>
      <c r="G29" s="8" t="s">
        <v>25</v>
      </c>
      <c r="H29" s="31">
        <v>45979</v>
      </c>
      <c r="I29" s="26" t="s">
        <v>108</v>
      </c>
    </row>
    <row r="30" spans="1:9" ht="156" customHeight="1" x14ac:dyDescent="0.2">
      <c r="A30" s="26" t="s">
        <v>147</v>
      </c>
      <c r="B30" s="31">
        <v>45979</v>
      </c>
      <c r="C30" s="26" t="s">
        <v>29</v>
      </c>
      <c r="D30" s="26" t="s">
        <v>89</v>
      </c>
      <c r="E30" s="27" t="s">
        <v>34</v>
      </c>
      <c r="F30" s="28" t="s">
        <v>24</v>
      </c>
      <c r="G30" s="8" t="s">
        <v>25</v>
      </c>
      <c r="H30" s="31">
        <v>45979</v>
      </c>
      <c r="I30" s="26" t="s">
        <v>109</v>
      </c>
    </row>
    <row r="31" spans="1:9" ht="156" customHeight="1" x14ac:dyDescent="0.2">
      <c r="A31" s="26" t="s">
        <v>147</v>
      </c>
      <c r="B31" s="31">
        <v>45980</v>
      </c>
      <c r="C31" s="26" t="s">
        <v>43</v>
      </c>
      <c r="D31" s="26" t="s">
        <v>50</v>
      </c>
      <c r="E31" s="27" t="s">
        <v>34</v>
      </c>
      <c r="F31" s="28" t="s">
        <v>24</v>
      </c>
      <c r="G31" s="8" t="s">
        <v>25</v>
      </c>
      <c r="H31" s="31">
        <v>45980</v>
      </c>
      <c r="I31" s="26" t="s">
        <v>110</v>
      </c>
    </row>
    <row r="32" spans="1:9" ht="148.5" customHeight="1" x14ac:dyDescent="0.2">
      <c r="A32" s="26" t="s">
        <v>147</v>
      </c>
      <c r="B32" s="31">
        <v>45980</v>
      </c>
      <c r="C32" s="26" t="s">
        <v>22</v>
      </c>
      <c r="D32" s="26" t="s">
        <v>61</v>
      </c>
      <c r="E32" s="27" t="s">
        <v>26</v>
      </c>
      <c r="F32" s="28" t="s">
        <v>24</v>
      </c>
      <c r="G32" s="8" t="s">
        <v>25</v>
      </c>
      <c r="H32" s="31">
        <v>45980</v>
      </c>
      <c r="I32" s="26" t="s">
        <v>111</v>
      </c>
    </row>
    <row r="33" spans="1:9" ht="153" customHeight="1" x14ac:dyDescent="0.2">
      <c r="A33" s="26" t="s">
        <v>147</v>
      </c>
      <c r="B33" s="31">
        <v>45980</v>
      </c>
      <c r="C33" s="26" t="s">
        <v>33</v>
      </c>
      <c r="D33" s="26" t="s">
        <v>63</v>
      </c>
      <c r="E33" s="27" t="s">
        <v>26</v>
      </c>
      <c r="F33" s="28" t="s">
        <v>24</v>
      </c>
      <c r="G33" s="8" t="s">
        <v>25</v>
      </c>
      <c r="H33" s="31">
        <v>45980</v>
      </c>
      <c r="I33" s="26" t="s">
        <v>112</v>
      </c>
    </row>
    <row r="34" spans="1:9" ht="156.75" customHeight="1" x14ac:dyDescent="0.2">
      <c r="A34" s="26" t="s">
        <v>147</v>
      </c>
      <c r="B34" s="31">
        <v>45980</v>
      </c>
      <c r="C34" s="26" t="s">
        <v>33</v>
      </c>
      <c r="D34" s="26" t="s">
        <v>64</v>
      </c>
      <c r="E34" s="27" t="s">
        <v>26</v>
      </c>
      <c r="F34" s="28" t="s">
        <v>24</v>
      </c>
      <c r="G34" s="8" t="s">
        <v>25</v>
      </c>
      <c r="H34" s="31">
        <v>45980</v>
      </c>
      <c r="I34" s="26" t="s">
        <v>113</v>
      </c>
    </row>
    <row r="35" spans="1:9" ht="153" customHeight="1" x14ac:dyDescent="0.2">
      <c r="A35" s="26" t="s">
        <v>147</v>
      </c>
      <c r="B35" s="31">
        <v>45981</v>
      </c>
      <c r="C35" s="26" t="s">
        <v>44</v>
      </c>
      <c r="D35" s="26" t="s">
        <v>51</v>
      </c>
      <c r="E35" s="27" t="s">
        <v>36</v>
      </c>
      <c r="F35" s="28" t="s">
        <v>24</v>
      </c>
      <c r="G35" s="8" t="s">
        <v>25</v>
      </c>
      <c r="H35" s="31">
        <v>45981</v>
      </c>
      <c r="I35" s="26" t="s">
        <v>114</v>
      </c>
    </row>
    <row r="36" spans="1:9" x14ac:dyDescent="0.2">
      <c r="A36" s="5" t="s">
        <v>115</v>
      </c>
      <c r="B36" s="32"/>
      <c r="C36" s="3"/>
      <c r="D36" s="3"/>
      <c r="E36" s="3"/>
      <c r="F36" s="4"/>
      <c r="G36" s="8"/>
      <c r="H36" s="33"/>
      <c r="I36" s="21"/>
    </row>
    <row r="37" spans="1:9" ht="45" x14ac:dyDescent="0.2">
      <c r="A37" s="26" t="s">
        <v>31</v>
      </c>
      <c r="B37" s="34">
        <v>45957</v>
      </c>
      <c r="C37" s="26" t="s">
        <v>81</v>
      </c>
      <c r="D37" s="26" t="s">
        <v>68</v>
      </c>
      <c r="E37" s="27" t="s">
        <v>36</v>
      </c>
      <c r="F37" s="28" t="s">
        <v>70</v>
      </c>
      <c r="G37" s="8" t="s">
        <v>25</v>
      </c>
      <c r="H37" s="31">
        <v>45957</v>
      </c>
      <c r="I37" s="26" t="s">
        <v>116</v>
      </c>
    </row>
    <row r="38" spans="1:9" x14ac:dyDescent="0.2">
      <c r="A38" s="5" t="s">
        <v>117</v>
      </c>
      <c r="B38" s="32"/>
      <c r="C38" s="3"/>
      <c r="D38" s="3"/>
      <c r="E38" s="3"/>
      <c r="F38" s="4"/>
      <c r="G38" s="8"/>
      <c r="H38" s="33"/>
      <c r="I38" s="21"/>
    </row>
    <row r="39" spans="1:9" ht="141.75" customHeight="1" x14ac:dyDescent="0.2">
      <c r="A39" s="26" t="s">
        <v>149</v>
      </c>
      <c r="B39" s="34">
        <v>45971</v>
      </c>
      <c r="C39" s="26" t="s">
        <v>30</v>
      </c>
      <c r="D39" s="26" t="s">
        <v>86</v>
      </c>
      <c r="E39" s="27" t="s">
        <v>34</v>
      </c>
      <c r="F39" s="28" t="s">
        <v>24</v>
      </c>
      <c r="G39" s="8" t="s">
        <v>25</v>
      </c>
      <c r="H39" s="33">
        <f>Tabla224567891211101314151617[[#This Row],[FECHA]]</f>
        <v>45971</v>
      </c>
      <c r="I39" s="26" t="s">
        <v>118</v>
      </c>
    </row>
    <row r="40" spans="1:9" x14ac:dyDescent="0.2">
      <c r="A40" s="5" t="s">
        <v>117</v>
      </c>
      <c r="B40" s="32"/>
      <c r="C40" s="3"/>
      <c r="D40" s="3"/>
      <c r="E40" s="3"/>
      <c r="F40" s="4"/>
      <c r="G40" s="8"/>
      <c r="H40" s="33"/>
      <c r="I40" s="21"/>
    </row>
    <row r="41" spans="1:9" ht="139.5" customHeight="1" x14ac:dyDescent="0.2">
      <c r="A41" s="26" t="s">
        <v>148</v>
      </c>
      <c r="B41" s="31">
        <v>45974</v>
      </c>
      <c r="C41" s="26" t="s">
        <v>22</v>
      </c>
      <c r="D41" s="26" t="s">
        <v>49</v>
      </c>
      <c r="E41" s="27" t="s">
        <v>26</v>
      </c>
      <c r="F41" s="28" t="s">
        <v>24</v>
      </c>
      <c r="G41" s="8" t="str">
        <f>G39</f>
        <v>SI</v>
      </c>
      <c r="H41" s="33">
        <f>Tabla224567891211101314151617[[#This Row],[FECHA]]</f>
        <v>45974</v>
      </c>
      <c r="I41" s="26" t="s">
        <v>121</v>
      </c>
    </row>
    <row r="42" spans="1:9" ht="142.5" customHeight="1" x14ac:dyDescent="0.2">
      <c r="A42" s="26" t="s">
        <v>148</v>
      </c>
      <c r="B42" s="31">
        <v>45975</v>
      </c>
      <c r="C42" s="26" t="s">
        <v>69</v>
      </c>
      <c r="D42" s="26" t="s">
        <v>119</v>
      </c>
      <c r="E42" s="27" t="s">
        <v>34</v>
      </c>
      <c r="F42" s="28" t="s">
        <v>24</v>
      </c>
      <c r="G42" s="8" t="s">
        <v>25</v>
      </c>
      <c r="H42" s="33">
        <f>Tabla224567891211101314151617[[#This Row],[FECHA]]</f>
        <v>45975</v>
      </c>
      <c r="I42" s="26" t="s">
        <v>122</v>
      </c>
    </row>
    <row r="43" spans="1:9" ht="142.5" customHeight="1" x14ac:dyDescent="0.2">
      <c r="A43" s="26" t="s">
        <v>148</v>
      </c>
      <c r="B43" s="31">
        <v>45980</v>
      </c>
      <c r="C43" s="26" t="s">
        <v>33</v>
      </c>
      <c r="D43" s="26" t="s">
        <v>120</v>
      </c>
      <c r="E43" s="27" t="s">
        <v>26</v>
      </c>
      <c r="F43" s="28" t="s">
        <v>24</v>
      </c>
      <c r="G43" s="8" t="str">
        <f t="shared" ref="G43:G51" si="0">G41</f>
        <v>SI</v>
      </c>
      <c r="H43" s="33">
        <f>Tabla224567891211101314151617[[#This Row],[FECHA]]</f>
        <v>45980</v>
      </c>
      <c r="I43" s="26" t="s">
        <v>123</v>
      </c>
    </row>
    <row r="44" spans="1:9" ht="141" customHeight="1" x14ac:dyDescent="0.2">
      <c r="A44" s="26" t="s">
        <v>148</v>
      </c>
      <c r="B44" s="31">
        <v>45981</v>
      </c>
      <c r="C44" s="26" t="s">
        <v>69</v>
      </c>
      <c r="D44" s="26" t="s">
        <v>64</v>
      </c>
      <c r="E44" s="27" t="s">
        <v>26</v>
      </c>
      <c r="F44" s="28" t="s">
        <v>70</v>
      </c>
      <c r="G44" s="8" t="str">
        <f t="shared" si="0"/>
        <v>SI</v>
      </c>
      <c r="H44" s="33">
        <f>Tabla224567891211101314151617[[#This Row],[FECHA]]</f>
        <v>45981</v>
      </c>
      <c r="I44" s="26" t="s">
        <v>124</v>
      </c>
    </row>
    <row r="45" spans="1:9" x14ac:dyDescent="0.2">
      <c r="A45" s="5" t="s">
        <v>125</v>
      </c>
      <c r="B45" s="32"/>
      <c r="C45" s="3"/>
      <c r="D45" s="3"/>
      <c r="E45" s="3"/>
      <c r="F45" s="4"/>
      <c r="G45" s="8"/>
      <c r="H45" s="33"/>
      <c r="I45" s="21"/>
    </row>
    <row r="46" spans="1:9" ht="120" x14ac:dyDescent="0.2">
      <c r="A46" s="26" t="s">
        <v>150</v>
      </c>
      <c r="B46" s="34">
        <v>45960</v>
      </c>
      <c r="C46" s="26" t="s">
        <v>41</v>
      </c>
      <c r="D46" s="26" t="s">
        <v>82</v>
      </c>
      <c r="E46" s="27" t="s">
        <v>34</v>
      </c>
      <c r="F46" s="28" t="s">
        <v>24</v>
      </c>
      <c r="G46" s="8" t="str">
        <f t="shared" si="0"/>
        <v>SI</v>
      </c>
      <c r="H46" s="33">
        <f>Tabla224567891211101314151617[[#This Row],[FECHA]]</f>
        <v>45960</v>
      </c>
      <c r="I46" s="26" t="s">
        <v>131</v>
      </c>
    </row>
    <row r="47" spans="1:9" ht="120" x14ac:dyDescent="0.2">
      <c r="A47" s="26" t="s">
        <v>150</v>
      </c>
      <c r="B47" s="34">
        <v>45961</v>
      </c>
      <c r="C47" s="26" t="s">
        <v>37</v>
      </c>
      <c r="D47" s="26" t="s">
        <v>127</v>
      </c>
      <c r="E47" s="27" t="s">
        <v>26</v>
      </c>
      <c r="F47" s="28" t="s">
        <v>24</v>
      </c>
      <c r="G47" s="8">
        <f t="shared" si="0"/>
        <v>0</v>
      </c>
      <c r="H47" s="33">
        <f>Tabla224567891211101314151617[[#This Row],[FECHA]]</f>
        <v>45961</v>
      </c>
      <c r="I47" s="26" t="s">
        <v>132</v>
      </c>
    </row>
    <row r="48" spans="1:9" ht="120" x14ac:dyDescent="0.2">
      <c r="A48" s="26" t="s">
        <v>150</v>
      </c>
      <c r="B48" s="34">
        <v>45966</v>
      </c>
      <c r="C48" s="26" t="s">
        <v>83</v>
      </c>
      <c r="D48" s="26" t="s">
        <v>84</v>
      </c>
      <c r="E48" s="27" t="s">
        <v>26</v>
      </c>
      <c r="F48" s="28" t="s">
        <v>24</v>
      </c>
      <c r="G48" s="8" t="str">
        <f t="shared" si="0"/>
        <v>SI</v>
      </c>
      <c r="H48" s="33">
        <f>Tabla224567891211101314151617[[#This Row],[FECHA]]</f>
        <v>45966</v>
      </c>
      <c r="I48" s="26" t="s">
        <v>133</v>
      </c>
    </row>
    <row r="49" spans="1:10" ht="120" x14ac:dyDescent="0.2">
      <c r="A49" s="26" t="s">
        <v>150</v>
      </c>
      <c r="B49" s="34">
        <v>45965</v>
      </c>
      <c r="C49" s="26" t="s">
        <v>29</v>
      </c>
      <c r="D49" s="26" t="s">
        <v>65</v>
      </c>
      <c r="E49" s="27" t="s">
        <v>36</v>
      </c>
      <c r="F49" s="28" t="s">
        <v>27</v>
      </c>
      <c r="G49" s="8">
        <f t="shared" si="0"/>
        <v>0</v>
      </c>
      <c r="H49" s="33">
        <f>Tabla224567891211101314151617[[#This Row],[FECHA]]</f>
        <v>45965</v>
      </c>
      <c r="I49" s="26" t="s">
        <v>134</v>
      </c>
    </row>
    <row r="50" spans="1:10" ht="120" x14ac:dyDescent="0.2">
      <c r="A50" s="26" t="s">
        <v>150</v>
      </c>
      <c r="B50" s="34">
        <v>45973</v>
      </c>
      <c r="C50" s="26" t="s">
        <v>41</v>
      </c>
      <c r="D50" s="26" t="s">
        <v>40</v>
      </c>
      <c r="E50" s="27" t="s">
        <v>26</v>
      </c>
      <c r="F50" s="28" t="s">
        <v>27</v>
      </c>
      <c r="G50" s="8" t="str">
        <f t="shared" si="0"/>
        <v>SI</v>
      </c>
      <c r="H50" s="33">
        <f>Tabla224567891211101314151617[[#This Row],[FECHA]]</f>
        <v>45973</v>
      </c>
      <c r="I50" s="26" t="s">
        <v>135</v>
      </c>
    </row>
    <row r="51" spans="1:10" ht="120" x14ac:dyDescent="0.2">
      <c r="A51" s="26" t="s">
        <v>150</v>
      </c>
      <c r="B51" s="34">
        <v>45975</v>
      </c>
      <c r="C51" s="26" t="s">
        <v>22</v>
      </c>
      <c r="D51" s="26" t="s">
        <v>49</v>
      </c>
      <c r="E51" s="27" t="s">
        <v>34</v>
      </c>
      <c r="F51" s="28" t="s">
        <v>24</v>
      </c>
      <c r="G51" s="8">
        <f t="shared" si="0"/>
        <v>0</v>
      </c>
      <c r="H51" s="33">
        <f>Tabla224567891211101314151617[[#This Row],[FECHA]]</f>
        <v>45975</v>
      </c>
      <c r="I51" s="26" t="s">
        <v>136</v>
      </c>
    </row>
    <row r="52" spans="1:10" ht="120" x14ac:dyDescent="0.2">
      <c r="A52" s="26" t="s">
        <v>150</v>
      </c>
      <c r="B52" s="34">
        <v>45979</v>
      </c>
      <c r="C52" s="26" t="s">
        <v>29</v>
      </c>
      <c r="D52" s="26" t="s">
        <v>89</v>
      </c>
      <c r="E52" s="27" t="s">
        <v>34</v>
      </c>
      <c r="F52" s="28" t="s">
        <v>24</v>
      </c>
      <c r="G52" s="8" t="s">
        <v>25</v>
      </c>
      <c r="H52" s="33">
        <f>Tabla224567891211101314151617[[#This Row],[FECHA]]</f>
        <v>45979</v>
      </c>
      <c r="I52" s="26" t="s">
        <v>137</v>
      </c>
    </row>
    <row r="53" spans="1:10" ht="120" x14ac:dyDescent="0.2">
      <c r="A53" s="26" t="s">
        <v>150</v>
      </c>
      <c r="B53" s="34">
        <v>45979</v>
      </c>
      <c r="C53" s="26" t="s">
        <v>81</v>
      </c>
      <c r="D53" s="26" t="s">
        <v>42</v>
      </c>
      <c r="E53" s="27" t="s">
        <v>26</v>
      </c>
      <c r="F53" s="28" t="s">
        <v>24</v>
      </c>
      <c r="G53" s="8" t="s">
        <v>25</v>
      </c>
      <c r="H53" s="33">
        <f>Tabla224567891211101314151617[[#This Row],[FECHA]]</f>
        <v>45979</v>
      </c>
      <c r="I53" s="26" t="s">
        <v>138</v>
      </c>
    </row>
    <row r="54" spans="1:10" ht="120" x14ac:dyDescent="0.2">
      <c r="A54" s="26" t="s">
        <v>150</v>
      </c>
      <c r="B54" s="34">
        <v>45980</v>
      </c>
      <c r="C54" s="26" t="s">
        <v>47</v>
      </c>
      <c r="D54" s="26" t="s">
        <v>48</v>
      </c>
      <c r="E54" s="27" t="s">
        <v>26</v>
      </c>
      <c r="F54" s="28" t="s">
        <v>24</v>
      </c>
      <c r="G54" s="8" t="s">
        <v>25</v>
      </c>
      <c r="H54" s="33">
        <f>Tabla224567891211101314151617[[#This Row],[FECHA]]</f>
        <v>45980</v>
      </c>
      <c r="I54" s="26" t="s">
        <v>139</v>
      </c>
    </row>
    <row r="55" spans="1:10" ht="120" x14ac:dyDescent="0.2">
      <c r="A55" s="26" t="s">
        <v>150</v>
      </c>
      <c r="B55" s="34">
        <v>45980</v>
      </c>
      <c r="C55" s="26" t="s">
        <v>33</v>
      </c>
      <c r="D55" s="26" t="s">
        <v>128</v>
      </c>
      <c r="E55" s="27" t="s">
        <v>26</v>
      </c>
      <c r="F55" s="28" t="s">
        <v>24</v>
      </c>
      <c r="G55" s="8" t="s">
        <v>25</v>
      </c>
      <c r="H55" s="33">
        <f>Tabla224567891211101314151617[[#This Row],[FECHA]]</f>
        <v>45980</v>
      </c>
      <c r="I55" s="26" t="s">
        <v>140</v>
      </c>
    </row>
    <row r="56" spans="1:10" ht="120" x14ac:dyDescent="0.2">
      <c r="A56" s="26" t="s">
        <v>150</v>
      </c>
      <c r="B56" s="34">
        <v>45981</v>
      </c>
      <c r="C56" s="26" t="s">
        <v>69</v>
      </c>
      <c r="D56" s="26" t="s">
        <v>64</v>
      </c>
      <c r="E56" s="27" t="s">
        <v>26</v>
      </c>
      <c r="F56" s="28" t="s">
        <v>24</v>
      </c>
      <c r="G56" s="8">
        <f>G45</f>
        <v>0</v>
      </c>
      <c r="H56" s="33">
        <f>Tabla224567891211101314151617[[#This Row],[FECHA]]</f>
        <v>45981</v>
      </c>
      <c r="I56" s="26" t="s">
        <v>141</v>
      </c>
    </row>
    <row r="57" spans="1:10" ht="120" x14ac:dyDescent="0.2">
      <c r="A57" s="26" t="s">
        <v>150</v>
      </c>
      <c r="B57" s="34">
        <v>45965</v>
      </c>
      <c r="C57" s="26" t="s">
        <v>129</v>
      </c>
      <c r="D57" s="26" t="s">
        <v>130</v>
      </c>
      <c r="E57" s="27" t="s">
        <v>26</v>
      </c>
      <c r="F57" s="28" t="s">
        <v>27</v>
      </c>
      <c r="G57" s="8" t="s">
        <v>25</v>
      </c>
      <c r="H57" s="35">
        <v>45932</v>
      </c>
      <c r="I57" s="26" t="s">
        <v>142</v>
      </c>
    </row>
    <row r="58" spans="1:10" ht="120" x14ac:dyDescent="0.2">
      <c r="A58" s="26" t="s">
        <v>150</v>
      </c>
      <c r="B58" s="34">
        <v>45965</v>
      </c>
      <c r="C58" s="26" t="s">
        <v>129</v>
      </c>
      <c r="D58" s="26" t="s">
        <v>130</v>
      </c>
      <c r="E58" s="27" t="s">
        <v>26</v>
      </c>
      <c r="F58" s="28" t="s">
        <v>27</v>
      </c>
      <c r="G58" s="8" t="s">
        <v>25</v>
      </c>
      <c r="H58" s="35">
        <v>45939</v>
      </c>
      <c r="I58" s="26" t="s">
        <v>143</v>
      </c>
    </row>
    <row r="59" spans="1:10" x14ac:dyDescent="0.2">
      <c r="A59" s="36" t="s">
        <v>126</v>
      </c>
      <c r="B59" s="37"/>
      <c r="C59" s="3"/>
      <c r="D59" s="3"/>
      <c r="E59" s="3"/>
      <c r="F59" s="4"/>
      <c r="G59" s="8"/>
      <c r="H59" s="35"/>
      <c r="I59" s="21"/>
    </row>
    <row r="60" spans="1:10" x14ac:dyDescent="0.2">
      <c r="A60" s="81" t="s">
        <v>144</v>
      </c>
      <c r="B60" s="81"/>
      <c r="C60" s="7"/>
      <c r="D60" s="8"/>
      <c r="E60" s="8"/>
      <c r="F60" s="9"/>
      <c r="G60" s="9"/>
      <c r="H60" s="9"/>
      <c r="I60" s="9"/>
      <c r="J60" s="10"/>
    </row>
    <row r="61" spans="1:10" x14ac:dyDescent="0.2">
      <c r="A61" s="25" t="s">
        <v>15</v>
      </c>
      <c r="B61" s="83" t="s">
        <v>145</v>
      </c>
      <c r="C61" s="83"/>
      <c r="D61" s="83"/>
      <c r="E61" s="83"/>
      <c r="F61" s="83"/>
      <c r="G61" s="83"/>
      <c r="H61" s="83"/>
      <c r="I61" s="83"/>
      <c r="J61" s="83"/>
    </row>
    <row r="62" spans="1:10" x14ac:dyDescent="0.2">
      <c r="A62" s="11" t="s">
        <v>16</v>
      </c>
      <c r="B62" s="78" t="s">
        <v>76</v>
      </c>
      <c r="C62" s="78"/>
      <c r="D62" s="78"/>
      <c r="E62" s="78"/>
      <c r="F62" s="78"/>
      <c r="G62" s="78"/>
      <c r="H62" s="78"/>
      <c r="I62" s="78"/>
      <c r="J62" s="78"/>
    </row>
    <row r="63" spans="1:10" ht="16.5" customHeight="1" x14ac:dyDescent="0.2">
      <c r="A63" s="22" t="s">
        <v>17</v>
      </c>
      <c r="B63" s="77"/>
      <c r="C63" s="77"/>
      <c r="D63" s="77"/>
      <c r="E63" s="77"/>
      <c r="F63" s="77"/>
      <c r="G63" s="77"/>
      <c r="H63" s="77"/>
      <c r="I63" s="77"/>
      <c r="J63" s="77"/>
    </row>
    <row r="64" spans="1:10" x14ac:dyDescent="0.2">
      <c r="A64" s="11" t="s">
        <v>18</v>
      </c>
      <c r="B64" s="77" t="s">
        <v>146</v>
      </c>
      <c r="C64" s="77"/>
      <c r="D64" s="77"/>
      <c r="E64" s="77"/>
      <c r="F64" s="77"/>
      <c r="G64" s="77"/>
      <c r="H64" s="77"/>
      <c r="I64" s="77"/>
      <c r="J64" s="77"/>
    </row>
    <row r="65" spans="1:10" ht="18.75" customHeight="1" x14ac:dyDescent="0.2">
      <c r="A65" s="24" t="s">
        <v>152</v>
      </c>
      <c r="B65" s="84"/>
      <c r="C65" s="84"/>
      <c r="D65" s="84"/>
      <c r="E65" s="84"/>
      <c r="F65" s="84"/>
      <c r="G65" s="84"/>
      <c r="H65" s="84"/>
      <c r="I65" s="84"/>
      <c r="J65" s="84"/>
    </row>
    <row r="66" spans="1:10" x14ac:dyDescent="0.2">
      <c r="A66" s="40"/>
      <c r="B66" s="41"/>
      <c r="C66" s="40"/>
      <c r="D66" s="40"/>
      <c r="E66" s="40"/>
      <c r="F66" s="40"/>
      <c r="G66" s="40"/>
      <c r="H66" s="40"/>
      <c r="I66" s="40"/>
      <c r="J66" s="42"/>
    </row>
    <row r="67" spans="1:10" x14ac:dyDescent="0.2">
      <c r="A67" s="40"/>
      <c r="B67" s="41"/>
      <c r="C67" s="40"/>
      <c r="D67" s="40"/>
      <c r="E67" s="40"/>
      <c r="F67" s="40"/>
      <c r="G67" s="40"/>
      <c r="H67" s="40"/>
      <c r="I67" s="40"/>
      <c r="J67" s="39"/>
    </row>
    <row r="68" spans="1:10" x14ac:dyDescent="0.2">
      <c r="A68" s="40"/>
      <c r="B68" s="41"/>
      <c r="C68" s="40"/>
      <c r="D68" s="40"/>
      <c r="E68" s="40"/>
      <c r="F68" s="40"/>
      <c r="G68" s="40"/>
      <c r="H68" s="40"/>
      <c r="I68" s="40"/>
      <c r="J68" s="39"/>
    </row>
    <row r="69" spans="1:10" x14ac:dyDescent="0.2">
      <c r="A69" s="40"/>
      <c r="B69" s="41"/>
      <c r="C69" s="40"/>
      <c r="D69" s="40"/>
      <c r="E69" s="40"/>
      <c r="F69" s="40"/>
      <c r="G69" s="40"/>
      <c r="H69" s="40"/>
      <c r="I69" s="40"/>
      <c r="J69" s="39"/>
    </row>
    <row r="70" spans="1:10" x14ac:dyDescent="0.2">
      <c r="A70" s="40"/>
      <c r="B70" s="41"/>
      <c r="C70" s="40"/>
      <c r="D70" s="40"/>
      <c r="E70" s="40"/>
      <c r="F70" s="40"/>
      <c r="G70" s="40"/>
      <c r="H70" s="40"/>
      <c r="I70" s="40"/>
      <c r="J70" s="39"/>
    </row>
    <row r="71" spans="1:10" x14ac:dyDescent="0.2">
      <c r="A71" s="40"/>
      <c r="B71" s="41"/>
      <c r="C71" s="40"/>
      <c r="D71" s="40"/>
      <c r="E71" s="40"/>
      <c r="F71" s="40"/>
      <c r="G71" s="40"/>
      <c r="H71" s="40"/>
      <c r="I71" s="40"/>
      <c r="J71" s="39"/>
    </row>
    <row r="72" spans="1:10" x14ac:dyDescent="0.2">
      <c r="A72" s="40"/>
      <c r="B72" s="41"/>
      <c r="C72" s="40"/>
      <c r="D72" s="40"/>
      <c r="E72" s="40"/>
      <c r="F72" s="40"/>
      <c r="G72" s="40"/>
      <c r="H72" s="40"/>
      <c r="I72" s="40"/>
      <c r="J72" s="39"/>
    </row>
    <row r="73" spans="1:10" x14ac:dyDescent="0.2">
      <c r="A73" s="40"/>
      <c r="B73" s="41"/>
      <c r="C73" s="40"/>
      <c r="D73" s="40"/>
      <c r="E73" s="40"/>
      <c r="F73" s="40"/>
      <c r="G73" s="40"/>
      <c r="H73" s="40"/>
      <c r="I73" s="40"/>
      <c r="J73" s="39"/>
    </row>
    <row r="74" spans="1:10" x14ac:dyDescent="0.2">
      <c r="A74" s="40"/>
      <c r="B74" s="41"/>
      <c r="C74" s="40"/>
      <c r="D74" s="40"/>
      <c r="E74" s="40"/>
      <c r="F74" s="40"/>
      <c r="G74" s="40"/>
      <c r="H74" s="40"/>
      <c r="I74" s="40"/>
      <c r="J74" s="39"/>
    </row>
    <row r="75" spans="1:10" x14ac:dyDescent="0.2">
      <c r="A75" s="40"/>
      <c r="B75" s="41"/>
      <c r="C75" s="40"/>
      <c r="D75" s="40"/>
      <c r="E75" s="40"/>
      <c r="F75" s="40"/>
      <c r="G75" s="40"/>
      <c r="H75" s="40"/>
      <c r="I75" s="40"/>
      <c r="J75" s="39"/>
    </row>
    <row r="76" spans="1:10" x14ac:dyDescent="0.2">
      <c r="A76" s="40"/>
      <c r="B76" s="41"/>
      <c r="C76" s="40"/>
      <c r="D76" s="40"/>
      <c r="E76" s="40"/>
      <c r="F76" s="40"/>
      <c r="G76" s="40"/>
      <c r="H76" s="40"/>
      <c r="I76" s="40"/>
      <c r="J76" s="39"/>
    </row>
    <row r="77" spans="1:10" x14ac:dyDescent="0.2">
      <c r="A77" s="40"/>
      <c r="B77" s="41"/>
      <c r="C77" s="40"/>
      <c r="D77" s="40"/>
      <c r="E77" s="40"/>
      <c r="F77" s="40"/>
      <c r="G77" s="40"/>
      <c r="H77" s="40"/>
      <c r="I77" s="40"/>
      <c r="J77" s="39"/>
    </row>
    <row r="78" spans="1:10" x14ac:dyDescent="0.2">
      <c r="A78" s="40"/>
      <c r="B78" s="41"/>
      <c r="C78" s="40"/>
      <c r="D78" s="40"/>
      <c r="E78" s="40"/>
      <c r="F78" s="40"/>
      <c r="G78" s="40"/>
      <c r="H78" s="40"/>
      <c r="I78" s="40"/>
      <c r="J78" s="39"/>
    </row>
    <row r="79" spans="1:10" x14ac:dyDescent="0.2">
      <c r="A79" s="40"/>
      <c r="B79" s="41"/>
      <c r="C79" s="40"/>
      <c r="D79" s="40"/>
      <c r="E79" s="40"/>
      <c r="F79" s="40"/>
      <c r="G79" s="40"/>
      <c r="H79" s="40"/>
      <c r="I79" s="40"/>
      <c r="J79" s="39"/>
    </row>
    <row r="80" spans="1:10" x14ac:dyDescent="0.2">
      <c r="A80" s="40"/>
      <c r="B80" s="41"/>
      <c r="C80" s="40"/>
      <c r="D80" s="40"/>
      <c r="E80" s="40"/>
      <c r="F80" s="40"/>
      <c r="G80" s="40"/>
      <c r="H80" s="40"/>
      <c r="I80" s="40"/>
      <c r="J80" s="39"/>
    </row>
    <row r="81" spans="1:10" x14ac:dyDescent="0.2">
      <c r="A81" s="40"/>
      <c r="B81" s="41"/>
      <c r="C81" s="40"/>
      <c r="D81" s="40"/>
      <c r="E81" s="40"/>
      <c r="F81" s="40"/>
      <c r="G81" s="40"/>
      <c r="H81" s="40"/>
      <c r="I81" s="40"/>
      <c r="J81" s="39"/>
    </row>
    <row r="82" spans="1:10" x14ac:dyDescent="0.2">
      <c r="A82" s="40"/>
      <c r="B82" s="41"/>
      <c r="C82" s="40"/>
      <c r="D82" s="40"/>
      <c r="E82" s="40"/>
      <c r="F82" s="40"/>
      <c r="G82" s="40"/>
      <c r="H82" s="40"/>
      <c r="I82" s="40"/>
      <c r="J82" s="39"/>
    </row>
    <row r="83" spans="1:10" x14ac:dyDescent="0.2">
      <c r="A83" s="40"/>
      <c r="B83" s="41"/>
      <c r="C83" s="40"/>
      <c r="D83" s="40"/>
      <c r="E83" s="40"/>
      <c r="F83" s="40"/>
      <c r="G83" s="40"/>
      <c r="H83" s="40"/>
      <c r="I83" s="40"/>
      <c r="J83" s="39"/>
    </row>
    <row r="84" spans="1:10" x14ac:dyDescent="0.2">
      <c r="A84" s="40"/>
      <c r="B84" s="41"/>
      <c r="C84" s="40"/>
      <c r="D84" s="40"/>
      <c r="E84" s="40"/>
      <c r="F84" s="40"/>
      <c r="G84" s="40"/>
      <c r="H84" s="40"/>
      <c r="I84" s="40"/>
      <c r="J84" s="39"/>
    </row>
    <row r="85" spans="1:10" x14ac:dyDescent="0.2">
      <c r="A85" s="40"/>
      <c r="B85" s="41"/>
      <c r="C85" s="40"/>
      <c r="D85" s="40"/>
      <c r="E85" s="40"/>
      <c r="F85" s="40"/>
      <c r="G85" s="40"/>
      <c r="H85" s="40"/>
      <c r="I85" s="40"/>
      <c r="J85" s="39"/>
    </row>
    <row r="86" spans="1:10" x14ac:dyDescent="0.2">
      <c r="A86" s="40"/>
      <c r="B86" s="41"/>
      <c r="C86" s="40"/>
      <c r="D86" s="40"/>
      <c r="E86" s="40"/>
      <c r="F86" s="40"/>
      <c r="G86" s="40"/>
      <c r="H86" s="40"/>
      <c r="I86" s="40"/>
      <c r="J86" s="39"/>
    </row>
    <row r="87" spans="1:10" x14ac:dyDescent="0.2">
      <c r="A87" s="40"/>
      <c r="B87" s="41"/>
      <c r="C87" s="40"/>
      <c r="D87" s="40"/>
      <c r="E87" s="40"/>
      <c r="F87" s="40"/>
      <c r="G87" s="40"/>
      <c r="H87" s="40"/>
      <c r="I87" s="40"/>
      <c r="J87" s="39"/>
    </row>
    <row r="88" spans="1:10" x14ac:dyDescent="0.2">
      <c r="A88" s="40"/>
      <c r="B88" s="41"/>
      <c r="C88" s="40"/>
      <c r="D88" s="40"/>
      <c r="E88" s="40"/>
      <c r="F88" s="40"/>
      <c r="G88" s="40"/>
      <c r="H88" s="40"/>
      <c r="I88" s="40"/>
      <c r="J88" s="39"/>
    </row>
    <row r="89" spans="1:10" x14ac:dyDescent="0.2">
      <c r="A89" s="40"/>
      <c r="B89" s="41"/>
      <c r="C89" s="40"/>
      <c r="D89" s="40"/>
      <c r="E89" s="40"/>
      <c r="F89" s="40"/>
      <c r="G89" s="40"/>
      <c r="H89" s="40"/>
      <c r="I89" s="40"/>
      <c r="J89" s="39"/>
    </row>
    <row r="90" spans="1:10" x14ac:dyDescent="0.2">
      <c r="A90" s="40"/>
      <c r="B90" s="41"/>
      <c r="C90" s="40"/>
      <c r="D90" s="40"/>
      <c r="E90" s="40"/>
      <c r="F90" s="40"/>
      <c r="G90" s="40"/>
      <c r="H90" s="40"/>
      <c r="I90" s="40"/>
      <c r="J90" s="39"/>
    </row>
    <row r="91" spans="1:10" x14ac:dyDescent="0.2">
      <c r="A91" s="40"/>
      <c r="B91" s="41"/>
      <c r="C91" s="40"/>
      <c r="D91" s="40"/>
      <c r="E91" s="40"/>
      <c r="F91" s="40"/>
      <c r="G91" s="40"/>
      <c r="H91" s="40"/>
      <c r="I91" s="40"/>
      <c r="J91" s="39"/>
    </row>
    <row r="92" spans="1:10" x14ac:dyDescent="0.2">
      <c r="A92" s="40"/>
      <c r="B92" s="41"/>
      <c r="C92" s="40"/>
      <c r="D92" s="40"/>
      <c r="E92" s="40"/>
      <c r="F92" s="40"/>
      <c r="G92" s="40"/>
      <c r="H92" s="40"/>
      <c r="I92" s="40"/>
      <c r="J92" s="39"/>
    </row>
    <row r="93" spans="1:10" x14ac:dyDescent="0.2">
      <c r="A93" s="40"/>
      <c r="B93" s="41"/>
      <c r="C93" s="40"/>
      <c r="D93" s="40"/>
      <c r="E93" s="40"/>
      <c r="F93" s="40"/>
      <c r="G93" s="40"/>
      <c r="H93" s="40"/>
      <c r="I93" s="40"/>
      <c r="J93" s="39"/>
    </row>
  </sheetData>
  <mergeCells count="17">
    <mergeCell ref="B62:J62"/>
    <mergeCell ref="B63:J63"/>
    <mergeCell ref="B64:J64"/>
    <mergeCell ref="B65:J65"/>
    <mergeCell ref="A5:B5"/>
    <mergeCell ref="C5:J5"/>
    <mergeCell ref="A6:B6"/>
    <mergeCell ref="C6:J6"/>
    <mergeCell ref="A60:B60"/>
    <mergeCell ref="B61:J61"/>
    <mergeCell ref="A4:B4"/>
    <mergeCell ref="C4:J4"/>
    <mergeCell ref="A1:J1"/>
    <mergeCell ref="A2:B2"/>
    <mergeCell ref="C2:J2"/>
    <mergeCell ref="A3:B3"/>
    <mergeCell ref="C3:J3"/>
  </mergeCells>
  <pageMargins left="0.25" right="0.25" top="0.75" bottom="0.75" header="0.3" footer="0.3"/>
  <pageSetup scale="74" fitToHeight="0" orientation="landscape" horizontalDpi="0" verticalDpi="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topLeftCell="A10" workbookViewId="0">
      <selection activeCell="B16" sqref="B16:G16"/>
    </sheetView>
  </sheetViews>
  <sheetFormatPr baseColWidth="10" defaultRowHeight="15" x14ac:dyDescent="0.25"/>
  <cols>
    <col min="1" max="1" width="28.140625" style="20" customWidth="1"/>
    <col min="2" max="2" width="9.28515625" customWidth="1"/>
    <col min="4" max="4" width="17.28515625" customWidth="1"/>
    <col min="8" max="8" width="4.5703125" customWidth="1"/>
    <col min="9" max="9" width="6.140625" customWidth="1"/>
    <col min="10" max="10" width="0.5703125" customWidth="1"/>
  </cols>
  <sheetData>
    <row r="1" spans="1:10" ht="23.25" customHeight="1" x14ac:dyDescent="0.25">
      <c r="A1" s="75" t="s">
        <v>9</v>
      </c>
      <c r="B1" s="75"/>
      <c r="C1" s="75"/>
      <c r="D1" s="75"/>
      <c r="E1" s="75"/>
      <c r="F1" s="75"/>
      <c r="G1" s="75"/>
      <c r="H1" s="75"/>
      <c r="I1" s="75"/>
      <c r="J1" s="75"/>
    </row>
    <row r="2" spans="1:10" ht="25.5" customHeight="1" x14ac:dyDescent="0.25">
      <c r="A2" s="75" t="s">
        <v>10</v>
      </c>
      <c r="B2" s="75"/>
      <c r="C2" s="76" t="s">
        <v>55</v>
      </c>
      <c r="D2" s="76"/>
      <c r="E2" s="76"/>
      <c r="F2" s="76"/>
      <c r="G2" s="76"/>
      <c r="H2" s="76"/>
      <c r="I2" s="76"/>
      <c r="J2" s="76"/>
    </row>
    <row r="3" spans="1:10" ht="52.5" customHeight="1" x14ac:dyDescent="0.25">
      <c r="A3" s="75" t="s">
        <v>11</v>
      </c>
      <c r="B3" s="75"/>
      <c r="C3" s="77" t="s">
        <v>56</v>
      </c>
      <c r="D3" s="77"/>
      <c r="E3" s="77"/>
      <c r="F3" s="77"/>
      <c r="G3" s="77"/>
      <c r="H3" s="77"/>
      <c r="I3" s="77"/>
      <c r="J3" s="77"/>
    </row>
    <row r="4" spans="1:10" ht="23.25" customHeight="1" x14ac:dyDescent="0.25">
      <c r="A4" s="75" t="s">
        <v>12</v>
      </c>
      <c r="B4" s="75"/>
      <c r="C4" s="76" t="s">
        <v>21</v>
      </c>
      <c r="D4" s="76"/>
      <c r="E4" s="76"/>
      <c r="F4" s="76"/>
      <c r="G4" s="76"/>
      <c r="H4" s="76"/>
      <c r="I4" s="76"/>
      <c r="J4" s="76"/>
    </row>
    <row r="5" spans="1:10" ht="21" customHeight="1" x14ac:dyDescent="0.25">
      <c r="A5" s="95" t="s">
        <v>13</v>
      </c>
      <c r="B5" s="96"/>
      <c r="C5" s="80">
        <v>1040040179</v>
      </c>
      <c r="D5" s="80"/>
      <c r="E5" s="80"/>
      <c r="F5" s="80"/>
      <c r="G5" s="80"/>
      <c r="H5" s="80"/>
      <c r="I5" s="80"/>
      <c r="J5" s="80"/>
    </row>
    <row r="6" spans="1:10" ht="33" customHeight="1" x14ac:dyDescent="0.25">
      <c r="A6" s="75" t="s">
        <v>14</v>
      </c>
      <c r="B6" s="75"/>
      <c r="C6" s="76" t="s">
        <v>73</v>
      </c>
      <c r="D6" s="76"/>
      <c r="E6" s="76"/>
      <c r="F6" s="76"/>
      <c r="G6" s="76"/>
      <c r="H6" s="76"/>
      <c r="I6" s="76"/>
      <c r="J6" s="76"/>
    </row>
    <row r="7" spans="1:10" ht="18.75" x14ac:dyDescent="0.3">
      <c r="A7" s="86" t="s">
        <v>52</v>
      </c>
      <c r="B7" s="86"/>
      <c r="C7" s="86"/>
      <c r="D7" s="86"/>
      <c r="E7" s="86"/>
      <c r="F7" s="97" t="s">
        <v>53</v>
      </c>
      <c r="G7" s="97"/>
      <c r="H7" s="97"/>
      <c r="I7" s="97"/>
      <c r="J7" s="97"/>
    </row>
    <row r="8" spans="1:10" ht="18.75" x14ac:dyDescent="0.3">
      <c r="A8" s="86" t="s">
        <v>57</v>
      </c>
      <c r="B8" s="86"/>
      <c r="C8" s="86"/>
      <c r="D8" s="86"/>
      <c r="E8" s="86"/>
      <c r="F8" s="87">
        <v>185</v>
      </c>
      <c r="G8" s="87"/>
      <c r="H8" s="87"/>
      <c r="I8" s="87"/>
      <c r="J8" s="87"/>
    </row>
    <row r="9" spans="1:10" ht="18.75" x14ac:dyDescent="0.3">
      <c r="A9" s="86" t="s">
        <v>31</v>
      </c>
      <c r="B9" s="86"/>
      <c r="C9" s="86"/>
      <c r="D9" s="86"/>
      <c r="E9" s="86"/>
      <c r="F9" s="87">
        <v>60</v>
      </c>
      <c r="G9" s="87"/>
      <c r="H9" s="87"/>
      <c r="I9" s="87"/>
      <c r="J9" s="87"/>
    </row>
    <row r="10" spans="1:10" ht="18.75" x14ac:dyDescent="0.3">
      <c r="A10" s="86" t="s">
        <v>38</v>
      </c>
      <c r="B10" s="86"/>
      <c r="C10" s="86"/>
      <c r="D10" s="86"/>
      <c r="E10" s="86"/>
      <c r="F10" s="87">
        <v>48</v>
      </c>
      <c r="G10" s="87"/>
      <c r="H10" s="87"/>
      <c r="I10" s="87"/>
      <c r="J10" s="87"/>
    </row>
    <row r="11" spans="1:10" ht="18.75" x14ac:dyDescent="0.3">
      <c r="A11" s="86" t="s">
        <v>35</v>
      </c>
      <c r="B11" s="86"/>
      <c r="C11" s="86"/>
      <c r="D11" s="86"/>
      <c r="E11" s="86"/>
      <c r="F11" s="87">
        <v>39</v>
      </c>
      <c r="G11" s="87"/>
      <c r="H11" s="87"/>
      <c r="I11" s="87"/>
      <c r="J11" s="87"/>
    </row>
    <row r="12" spans="1:10" ht="18.75" x14ac:dyDescent="0.3">
      <c r="A12" s="86" t="s">
        <v>58</v>
      </c>
      <c r="B12" s="86"/>
      <c r="C12" s="86"/>
      <c r="D12" s="86"/>
      <c r="E12" s="86"/>
      <c r="F12" s="87">
        <v>88</v>
      </c>
      <c r="G12" s="87"/>
      <c r="H12" s="87"/>
      <c r="I12" s="87"/>
      <c r="J12" s="87"/>
    </row>
    <row r="13" spans="1:10" ht="18.75" x14ac:dyDescent="0.3">
      <c r="A13" s="86" t="s">
        <v>54</v>
      </c>
      <c r="B13" s="86"/>
      <c r="C13" s="86"/>
      <c r="D13" s="86"/>
      <c r="E13" s="86"/>
      <c r="F13" s="87">
        <f>SUM(F8:G12)</f>
        <v>420</v>
      </c>
      <c r="G13" s="87"/>
      <c r="H13" s="87"/>
      <c r="I13" s="87"/>
      <c r="J13" s="87"/>
    </row>
    <row r="14" spans="1:10" x14ac:dyDescent="0.25">
      <c r="A14" s="88"/>
      <c r="B14" s="88"/>
      <c r="C14" s="88"/>
      <c r="D14" s="88"/>
      <c r="E14" s="88"/>
      <c r="F14" s="88"/>
      <c r="G14" s="88"/>
      <c r="H14" s="12"/>
      <c r="I14" s="12"/>
      <c r="J14" s="12"/>
    </row>
    <row r="15" spans="1:10" x14ac:dyDescent="0.25">
      <c r="A15" s="13" t="s">
        <v>15</v>
      </c>
      <c r="B15" s="89" t="s">
        <v>74</v>
      </c>
      <c r="C15" s="89"/>
      <c r="D15" s="89"/>
      <c r="E15" s="89"/>
      <c r="F15" s="89"/>
      <c r="G15" s="89"/>
      <c r="H15" s="14"/>
      <c r="I15" s="14"/>
      <c r="J15" s="14"/>
    </row>
    <row r="16" spans="1:10" x14ac:dyDescent="0.25">
      <c r="A16" s="23" t="s">
        <v>16</v>
      </c>
      <c r="B16" s="90" t="s">
        <v>21</v>
      </c>
      <c r="C16" s="90"/>
      <c r="D16" s="90"/>
      <c r="E16" s="90"/>
      <c r="F16" s="90"/>
      <c r="G16" s="90"/>
      <c r="H16" s="15"/>
      <c r="I16" s="15"/>
      <c r="J16" s="15"/>
    </row>
    <row r="17" spans="1:10" ht="26.25" x14ac:dyDescent="0.25">
      <c r="A17" s="16" t="s">
        <v>17</v>
      </c>
      <c r="B17" s="91"/>
      <c r="C17" s="92"/>
      <c r="D17" s="92"/>
      <c r="E17" s="92"/>
      <c r="F17" s="92"/>
      <c r="G17" s="93"/>
      <c r="H17" s="17"/>
      <c r="I17" s="17"/>
      <c r="J17" s="17"/>
    </row>
    <row r="18" spans="1:10" x14ac:dyDescent="0.25">
      <c r="A18" s="23" t="s">
        <v>18</v>
      </c>
      <c r="B18" s="94" t="s">
        <v>19</v>
      </c>
      <c r="C18" s="94"/>
      <c r="D18" s="94"/>
      <c r="E18" s="94"/>
      <c r="F18" s="94"/>
      <c r="G18" s="18"/>
      <c r="H18" s="18"/>
      <c r="I18" s="18"/>
      <c r="J18" s="18"/>
    </row>
    <row r="19" spans="1:10" ht="25.5" x14ac:dyDescent="0.25">
      <c r="A19" s="13" t="s">
        <v>20</v>
      </c>
      <c r="B19" s="85"/>
      <c r="C19" s="85"/>
      <c r="D19" s="85"/>
      <c r="E19" s="85"/>
      <c r="F19" s="85"/>
      <c r="G19" s="85"/>
      <c r="H19" s="19"/>
      <c r="I19" s="19"/>
      <c r="J19" s="19"/>
    </row>
  </sheetData>
  <mergeCells count="31">
    <mergeCell ref="A4:B4"/>
    <mergeCell ref="C4:J4"/>
    <mergeCell ref="A1:J1"/>
    <mergeCell ref="A2:B2"/>
    <mergeCell ref="C2:J2"/>
    <mergeCell ref="A3:B3"/>
    <mergeCell ref="C3:J3"/>
    <mergeCell ref="A5:B5"/>
    <mergeCell ref="C5:J5"/>
    <mergeCell ref="A6:B6"/>
    <mergeCell ref="C6:J6"/>
    <mergeCell ref="A7:E7"/>
    <mergeCell ref="F7:J7"/>
    <mergeCell ref="A8:E8"/>
    <mergeCell ref="F8:J8"/>
    <mergeCell ref="A9:E9"/>
    <mergeCell ref="F9:J9"/>
    <mergeCell ref="A10:E10"/>
    <mergeCell ref="F10:J10"/>
    <mergeCell ref="B19:G19"/>
    <mergeCell ref="A11:E11"/>
    <mergeCell ref="F11:J11"/>
    <mergeCell ref="A12:E12"/>
    <mergeCell ref="F12:J12"/>
    <mergeCell ref="A13:E13"/>
    <mergeCell ref="F13:J13"/>
    <mergeCell ref="A14:G14"/>
    <mergeCell ref="B15:G15"/>
    <mergeCell ref="B16:G16"/>
    <mergeCell ref="B17:G17"/>
    <mergeCell ref="B18:F18"/>
  </mergeCells>
  <pageMargins left="0.7" right="0.7" top="0.75" bottom="0.75" header="0.3" footer="0.3"/>
  <pageSetup orientation="landscape"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Informe Febrero 26</vt:lpstr>
      <vt:lpstr>Informe Octubre 25</vt:lpstr>
      <vt:lpstr>Resumido 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Bernardo Cardona Florez</dc:creator>
  <cp:lastModifiedBy>Apoyo sistemas</cp:lastModifiedBy>
  <cp:lastPrinted>2026-02-02T14:44:54Z</cp:lastPrinted>
  <dcterms:created xsi:type="dcterms:W3CDTF">2023-02-08T22:02:29Z</dcterms:created>
  <dcterms:modified xsi:type="dcterms:W3CDTF">2026-02-02T14:47:02Z</dcterms:modified>
</cp:coreProperties>
</file>